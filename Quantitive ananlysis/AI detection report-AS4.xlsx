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1.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2.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3.xml" ContentType="application/vnd.openxmlformats-officedocument.drawing+xml"/>
  <Override PartName="/xl/charts/chartEx1.xml" ContentType="application/vnd.ms-office.chartex+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charts/chart30.xml" ContentType="application/vnd.openxmlformats-officedocument.drawingml.chart+xml"/>
  <Override PartName="/xl/charts/style31.xml" ContentType="application/vnd.ms-office.chartstyle+xml"/>
  <Override PartName="/xl/charts/colors31.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https://kuacae-my.sharepoint.com/personal/mehbub_alam_ku_ac_ae1/Documents/Old desktop-visiting researcher/AIDetection/AI Generated Text/Evaluation on AI Generated TExt/"/>
    </mc:Choice>
  </mc:AlternateContent>
  <xr:revisionPtr revIDLastSave="263" documentId="8_{4AE32B34-81CC-4CDB-846F-CD32C3A10927}" xr6:coauthVersionLast="47" xr6:coauthVersionMax="47" xr10:uidLastSave="{E3FBB755-2FF4-459B-AAB8-8E0FFAF35A79}"/>
  <bookViews>
    <workbookView xWindow="-80" yWindow="-80" windowWidth="19360" windowHeight="10240" tabRatio="866" firstSheet="11" activeTab="14" xr2:uid="{00000000-000D-0000-FFFF-FFFF00000000}"/>
  </bookViews>
  <sheets>
    <sheet name="Task 1 - Bubble Sort" sheetId="4" r:id="rId1"/>
    <sheet name="Task 2 - CLA" sheetId="6" r:id="rId2"/>
    <sheet name="Task-3 FSM" sheetId="19" r:id="rId3"/>
    <sheet name="Task 4 - I2C" sheetId="10" r:id="rId4"/>
    <sheet name="Task 5 -MPI" sheetId="21" r:id="rId5"/>
    <sheet name="Task 6-MR" sheetId="22" r:id="rId6"/>
    <sheet name="Task 7-OOP" sheetId="23" r:id="rId7"/>
    <sheet name="Task 8-PI" sheetId="24" r:id="rId8"/>
    <sheet name="Task 9-RM" sheetId="25" r:id="rId9"/>
    <sheet name="Task 10-SA" sheetId="26" r:id="rId10"/>
    <sheet name="RQ 2- Topic-wise analysis" sheetId="27" r:id="rId11"/>
    <sheet name="RQ 1- part A and B. All models" sheetId="34" r:id="rId12"/>
    <sheet name="Topic agnositc analysis-1" sheetId="28" r:id="rId13"/>
    <sheet name="RQ-1-C -Topic agn anal-2" sheetId="29" r:id="rId14"/>
    <sheet name="RQ3- AI identifier" sheetId="33" r:id="rId15"/>
    <sheet name="RQ-1-D" sheetId="35" r:id="rId16"/>
  </sheets>
  <definedNames>
    <definedName name="_xlchart.v2.0" hidden="1">'RQ-1-C -Topic agn anal-2'!$C$106:$C$116</definedName>
    <definedName name="_xlchart.v2.1" hidden="1">'RQ-1-C -Topic agn anal-2'!$D$106:$D$116</definedName>
    <definedName name="_xlchart.v2.2" hidden="1">'RQ-1-C -Topic agn anal-2'!$C$106:$C$116</definedName>
    <definedName name="_xlchart.v2.3" hidden="1">'RQ-1-C -Topic agn anal-2'!$D$106:$D$116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27" l="1"/>
  <c r="C19" i="27"/>
  <c r="C20" i="27"/>
  <c r="C21" i="27"/>
  <c r="C22" i="27"/>
  <c r="C23" i="27"/>
  <c r="C24" i="27"/>
  <c r="C25" i="27"/>
  <c r="C26" i="27"/>
  <c r="C17" i="27"/>
  <c r="Y32" i="34"/>
  <c r="Y33" i="34"/>
  <c r="Y34" i="34"/>
  <c r="Y35" i="34"/>
  <c r="Y36" i="34"/>
  <c r="Y37" i="34"/>
  <c r="Y38" i="34"/>
  <c r="Y39" i="34"/>
  <c r="Y40" i="34"/>
  <c r="Y31" i="34"/>
  <c r="Y6" i="34"/>
  <c r="Y7" i="34"/>
  <c r="Y8" i="34"/>
  <c r="Y9" i="34"/>
  <c r="Y10" i="34"/>
  <c r="Y11" i="34"/>
  <c r="Y12" i="34"/>
  <c r="Y13" i="34"/>
  <c r="Y14" i="34"/>
  <c r="Y5" i="34"/>
  <c r="D3" i="34"/>
  <c r="D4" i="34"/>
  <c r="D5" i="34"/>
  <c r="D6" i="34"/>
  <c r="D7" i="34"/>
  <c r="D8" i="34"/>
  <c r="D9" i="34"/>
  <c r="D10" i="34"/>
  <c r="D11" i="34"/>
  <c r="D2" i="34"/>
  <c r="D4" i="27"/>
  <c r="D5" i="27"/>
  <c r="D6" i="27"/>
  <c r="D7" i="27"/>
  <c r="D8" i="27"/>
  <c r="D9" i="27"/>
  <c r="D10" i="27"/>
  <c r="D11" i="27"/>
  <c r="D12" i="27"/>
  <c r="D3" i="27"/>
  <c r="B40" i="35"/>
  <c r="B39" i="35"/>
  <c r="B38" i="35"/>
  <c r="B37" i="35"/>
  <c r="B36" i="35"/>
  <c r="B35" i="35"/>
  <c r="B34" i="35"/>
  <c r="B33" i="35"/>
  <c r="B32" i="35"/>
  <c r="B31" i="35"/>
  <c r="B32" i="34" l="1"/>
  <c r="B12" i="34"/>
  <c r="E24" i="28"/>
  <c r="F24" i="28"/>
  <c r="G24" i="28"/>
  <c r="H24" i="28"/>
  <c r="I24" i="28"/>
  <c r="J24" i="28"/>
  <c r="K24" i="28"/>
  <c r="L24" i="28"/>
  <c r="M24" i="28"/>
  <c r="N24" i="28"/>
  <c r="O24" i="28"/>
  <c r="P24" i="28"/>
  <c r="Q24" i="28"/>
  <c r="R24" i="28"/>
  <c r="S24" i="28"/>
  <c r="T24" i="28"/>
  <c r="U24" i="28"/>
  <c r="V24" i="28"/>
  <c r="W24" i="28"/>
  <c r="D24" i="28"/>
  <c r="I33" i="28"/>
  <c r="I34" i="28"/>
  <c r="I35" i="28"/>
  <c r="I36" i="28"/>
  <c r="I37" i="28"/>
  <c r="I38" i="28"/>
  <c r="I39" i="28"/>
  <c r="I40" i="28"/>
  <c r="I41" i="28"/>
  <c r="I32" i="28"/>
  <c r="H33" i="28"/>
  <c r="H34" i="28"/>
  <c r="H35" i="28"/>
  <c r="H36" i="28"/>
  <c r="H37" i="28"/>
  <c r="H38" i="28"/>
  <c r="H39" i="28"/>
  <c r="H40" i="28"/>
  <c r="H41" i="28"/>
  <c r="H32" i="28"/>
  <c r="E107" i="29"/>
  <c r="E108" i="29"/>
  <c r="E109" i="29"/>
  <c r="E110" i="29"/>
  <c r="E111" i="29"/>
  <c r="E112" i="29"/>
  <c r="E113" i="29"/>
  <c r="E114" i="29"/>
  <c r="E115" i="29"/>
  <c r="E116" i="29"/>
  <c r="E117" i="29"/>
  <c r="E118" i="29"/>
  <c r="E119" i="29"/>
  <c r="E120" i="29"/>
  <c r="E121" i="29"/>
  <c r="E122" i="29"/>
  <c r="E123" i="29"/>
  <c r="E124" i="29"/>
  <c r="E106" i="29"/>
  <c r="D125" i="29"/>
  <c r="AK102" i="29"/>
  <c r="AI102" i="29"/>
  <c r="AG102" i="29"/>
  <c r="AE102" i="29"/>
  <c r="AC102" i="29"/>
  <c r="AA102" i="29"/>
  <c r="Y102" i="29"/>
  <c r="W102" i="29"/>
  <c r="U102" i="29"/>
  <c r="S102" i="29"/>
  <c r="Q102" i="29"/>
  <c r="O102" i="29"/>
  <c r="M102" i="29"/>
  <c r="K102" i="29"/>
  <c r="I102" i="29"/>
  <c r="G102" i="29"/>
  <c r="E102" i="29"/>
  <c r="C102" i="29"/>
  <c r="A102" i="29"/>
  <c r="M2" i="29"/>
  <c r="M88" i="29"/>
  <c r="M87" i="29"/>
  <c r="M86" i="29"/>
  <c r="M85" i="29"/>
  <c r="M84" i="29"/>
  <c r="M83" i="29"/>
  <c r="M82" i="29"/>
  <c r="M81" i="29"/>
  <c r="M80" i="29"/>
  <c r="M79" i="29"/>
  <c r="M78" i="29"/>
  <c r="M77" i="29"/>
  <c r="M76" i="29"/>
  <c r="M75" i="29"/>
  <c r="M74" i="29"/>
  <c r="M73" i="29"/>
  <c r="M72" i="29"/>
  <c r="M71" i="29"/>
  <c r="M70" i="29"/>
  <c r="M69" i="29"/>
  <c r="M68" i="29"/>
  <c r="M67" i="29"/>
  <c r="M66" i="29"/>
  <c r="M65" i="29"/>
  <c r="M64" i="29"/>
  <c r="M63" i="29"/>
  <c r="M62" i="29"/>
  <c r="M61" i="29"/>
  <c r="M60" i="29"/>
  <c r="M59" i="29"/>
  <c r="M58" i="29"/>
  <c r="M57" i="29"/>
  <c r="M56" i="29"/>
  <c r="M55" i="29"/>
  <c r="M54" i="29"/>
  <c r="M53" i="29"/>
  <c r="M52" i="29"/>
  <c r="M51" i="29"/>
  <c r="M50" i="29"/>
  <c r="M49" i="29"/>
  <c r="M48" i="29"/>
  <c r="M47" i="29"/>
  <c r="M46" i="29"/>
  <c r="M45" i="29"/>
  <c r="M44" i="29"/>
  <c r="M43" i="29"/>
  <c r="M42" i="29"/>
  <c r="M41" i="29"/>
  <c r="M40" i="29"/>
  <c r="M39" i="29"/>
  <c r="M38" i="29"/>
  <c r="M37" i="29"/>
  <c r="M36" i="29"/>
  <c r="M35" i="29"/>
  <c r="M34" i="29"/>
  <c r="M33" i="29"/>
  <c r="M32" i="29"/>
  <c r="M31" i="29"/>
  <c r="M30" i="29"/>
  <c r="M29" i="29"/>
  <c r="M28" i="29"/>
  <c r="M27" i="29"/>
  <c r="M26" i="29"/>
  <c r="M25" i="29"/>
  <c r="M24" i="29"/>
  <c r="M23" i="29"/>
  <c r="M22" i="29"/>
  <c r="M21" i="29"/>
  <c r="M20" i="29"/>
  <c r="M19" i="29"/>
  <c r="M18" i="29"/>
  <c r="M17" i="29"/>
  <c r="M16" i="29"/>
  <c r="M15" i="29"/>
  <c r="M14" i="29"/>
  <c r="M13" i="29"/>
  <c r="M12" i="29"/>
  <c r="M11" i="29"/>
  <c r="M10" i="29"/>
  <c r="M9" i="29"/>
  <c r="M8" i="29"/>
  <c r="M7" i="29"/>
  <c r="M6" i="29"/>
  <c r="M5" i="29"/>
  <c r="M4" i="29"/>
  <c r="M3" i="29"/>
  <c r="R66" i="28"/>
  <c r="R67" i="28"/>
  <c r="R68" i="28"/>
  <c r="R69" i="28"/>
  <c r="R70" i="28"/>
  <c r="R71" i="28"/>
  <c r="R72" i="28"/>
  <c r="R73" i="28"/>
  <c r="R74" i="28"/>
  <c r="R65" i="28"/>
  <c r="Q66" i="28"/>
  <c r="Q67" i="28"/>
  <c r="Q68" i="28"/>
  <c r="Q69" i="28"/>
  <c r="Q70" i="28"/>
  <c r="Q71" i="28"/>
  <c r="Q72" i="28"/>
  <c r="Q73" i="28"/>
  <c r="Q74" i="28"/>
  <c r="Q65" i="28"/>
  <c r="P66" i="28"/>
  <c r="P67" i="28"/>
  <c r="P68" i="28"/>
  <c r="P69" i="28"/>
  <c r="P70" i="28"/>
  <c r="P71" i="28"/>
  <c r="P72" i="28"/>
  <c r="P73" i="28"/>
  <c r="P74" i="28"/>
  <c r="P65" i="28"/>
  <c r="O66" i="28"/>
  <c r="O67" i="28"/>
  <c r="O68" i="28"/>
  <c r="O69" i="28"/>
  <c r="O70" i="28"/>
  <c r="O71" i="28"/>
  <c r="O72" i="28"/>
  <c r="O73" i="28"/>
  <c r="O74" i="28"/>
  <c r="O65" i="28"/>
  <c r="N65" i="28"/>
  <c r="M66" i="28"/>
  <c r="M67" i="28"/>
  <c r="M68" i="28"/>
  <c r="M69" i="28"/>
  <c r="M70" i="28"/>
  <c r="M71" i="28"/>
  <c r="M72" i="28"/>
  <c r="M73" i="28"/>
  <c r="M74" i="28"/>
  <c r="M65" i="28"/>
  <c r="K66" i="28"/>
  <c r="K67" i="28"/>
  <c r="K68" i="28"/>
  <c r="K69" i="28"/>
  <c r="K70" i="28"/>
  <c r="K71" i="28"/>
  <c r="K72" i="28"/>
  <c r="K73" i="28"/>
  <c r="K74" i="28"/>
  <c r="K65" i="28"/>
  <c r="J66" i="28"/>
  <c r="J67" i="28"/>
  <c r="J68" i="28"/>
  <c r="J69" i="28"/>
  <c r="J70" i="28"/>
  <c r="J71" i="28"/>
  <c r="J72" i="28"/>
  <c r="J73" i="28"/>
  <c r="J74" i="28"/>
  <c r="J65" i="28"/>
  <c r="I66" i="28"/>
  <c r="I67" i="28"/>
  <c r="I68" i="28"/>
  <c r="I69" i="28"/>
  <c r="I70" i="28"/>
  <c r="I71" i="28"/>
  <c r="I72" i="28"/>
  <c r="I73" i="28"/>
  <c r="I74" i="28"/>
  <c r="I65" i="28"/>
  <c r="H66" i="28"/>
  <c r="H67" i="28"/>
  <c r="H68" i="28"/>
  <c r="H69" i="28"/>
  <c r="H70" i="28"/>
  <c r="H71" i="28"/>
  <c r="H72" i="28"/>
  <c r="H73" i="28"/>
  <c r="H74" i="28"/>
  <c r="H65" i="28"/>
  <c r="L66" i="28"/>
  <c r="L67" i="28"/>
  <c r="L68" i="28"/>
  <c r="L69" i="28"/>
  <c r="L70" i="28"/>
  <c r="L71" i="28"/>
  <c r="L72" i="28"/>
  <c r="L73" i="28"/>
  <c r="L74" i="28"/>
  <c r="L65" i="28"/>
  <c r="G42" i="28"/>
  <c r="F42" i="28"/>
  <c r="E42" i="28"/>
  <c r="D42" i="28"/>
  <c r="G33" i="28"/>
  <c r="G34" i="28"/>
  <c r="G35" i="28"/>
  <c r="G36" i="28"/>
  <c r="G37" i="28"/>
  <c r="G38" i="28"/>
  <c r="G39" i="28"/>
  <c r="G40" i="28"/>
  <c r="G41" i="28"/>
  <c r="F33" i="28"/>
  <c r="F34" i="28"/>
  <c r="F35" i="28"/>
  <c r="F36" i="28"/>
  <c r="F37" i="28"/>
  <c r="F38" i="28"/>
  <c r="F39" i="28"/>
  <c r="F40" i="28"/>
  <c r="F41" i="28"/>
  <c r="G32" i="28"/>
  <c r="F32" i="28"/>
  <c r="E33" i="28"/>
  <c r="E34" i="28"/>
  <c r="E35" i="28"/>
  <c r="E36" i="28"/>
  <c r="E37" i="28"/>
  <c r="E38" i="28"/>
  <c r="E39" i="28"/>
  <c r="E40" i="28"/>
  <c r="E41" i="28"/>
  <c r="D33" i="28"/>
  <c r="D34" i="28"/>
  <c r="D35" i="28"/>
  <c r="D36" i="28"/>
  <c r="D37" i="28"/>
  <c r="D38" i="28"/>
  <c r="D39" i="28"/>
  <c r="D40" i="28"/>
  <c r="D41" i="28"/>
  <c r="E32" i="28"/>
  <c r="D32" i="28"/>
  <c r="N39" i="27"/>
  <c r="N38" i="27"/>
  <c r="N37" i="27"/>
  <c r="N36" i="27"/>
  <c r="N35" i="27"/>
  <c r="N34" i="27"/>
  <c r="N33" i="27"/>
  <c r="N32" i="27"/>
  <c r="N31" i="27"/>
  <c r="N30" i="27"/>
  <c r="D13" i="21"/>
  <c r="D10" i="21"/>
  <c r="D7" i="21"/>
  <c r="X13" i="26"/>
  <c r="AJ5" i="26"/>
  <c r="AJ7" i="26"/>
  <c r="AJ6" i="26"/>
  <c r="L6" i="26"/>
  <c r="L6" i="25"/>
  <c r="H13" i="24"/>
  <c r="H12" i="24"/>
  <c r="L5" i="24"/>
  <c r="L6" i="24"/>
  <c r="AN5" i="24"/>
  <c r="AN15" i="23"/>
  <c r="T12" i="23"/>
  <c r="T5" i="23"/>
  <c r="T6" i="23"/>
  <c r="T7" i="23"/>
  <c r="T8" i="23"/>
  <c r="T9" i="23"/>
  <c r="P6" i="23"/>
  <c r="L6" i="23"/>
  <c r="H6" i="23"/>
  <c r="H7" i="23"/>
  <c r="H8" i="23"/>
  <c r="H9" i="23"/>
  <c r="H12" i="23"/>
  <c r="H5" i="23"/>
  <c r="AN15" i="26"/>
  <c r="AS14" i="26" s="1"/>
  <c r="AF15" i="26"/>
  <c r="AS12" i="26" s="1"/>
  <c r="X15" i="26"/>
  <c r="AS10" i="26" s="1"/>
  <c r="H15" i="26"/>
  <c r="AS6" i="26" s="1"/>
  <c r="AJ14" i="26"/>
  <c r="T14" i="26"/>
  <c r="P14" i="26"/>
  <c r="L14" i="26"/>
  <c r="D14" i="26"/>
  <c r="AJ13" i="26"/>
  <c r="T13" i="26"/>
  <c r="P13" i="26"/>
  <c r="L13" i="26"/>
  <c r="D13" i="26"/>
  <c r="AJ12" i="26"/>
  <c r="T12" i="26"/>
  <c r="P12" i="26"/>
  <c r="L12" i="26"/>
  <c r="D12" i="26"/>
  <c r="AJ11" i="26"/>
  <c r="T11" i="26"/>
  <c r="P11" i="26"/>
  <c r="D11" i="26"/>
  <c r="AJ10" i="26"/>
  <c r="T10" i="26"/>
  <c r="P10" i="26"/>
  <c r="D10" i="26"/>
  <c r="AJ9" i="26"/>
  <c r="T9" i="26"/>
  <c r="P9" i="26"/>
  <c r="L9" i="26"/>
  <c r="D9" i="26"/>
  <c r="AJ8" i="26"/>
  <c r="T8" i="26"/>
  <c r="P8" i="26"/>
  <c r="L8" i="26"/>
  <c r="D8" i="26"/>
  <c r="T7" i="26"/>
  <c r="P7" i="26"/>
  <c r="L7" i="26"/>
  <c r="D7" i="26"/>
  <c r="T6" i="26"/>
  <c r="P6" i="26"/>
  <c r="D6" i="26"/>
  <c r="AB15" i="26"/>
  <c r="AS11" i="26" s="1"/>
  <c r="T5" i="26"/>
  <c r="P5" i="26"/>
  <c r="D5" i="26"/>
  <c r="AF15" i="25"/>
  <c r="AS12" i="25" s="1"/>
  <c r="H15" i="25"/>
  <c r="AS6" i="25" s="1"/>
  <c r="AJ14" i="25"/>
  <c r="T14" i="25"/>
  <c r="P14" i="25"/>
  <c r="L14" i="25"/>
  <c r="D14" i="25"/>
  <c r="AJ13" i="25"/>
  <c r="T13" i="25"/>
  <c r="P13" i="25"/>
  <c r="L13" i="25"/>
  <c r="D13" i="25"/>
  <c r="AJ12" i="25"/>
  <c r="T12" i="25"/>
  <c r="P12" i="25"/>
  <c r="L12" i="25"/>
  <c r="D12" i="25"/>
  <c r="AJ11" i="25"/>
  <c r="T11" i="25"/>
  <c r="P11" i="25"/>
  <c r="L11" i="25"/>
  <c r="D11" i="25"/>
  <c r="AJ10" i="25"/>
  <c r="T10" i="25"/>
  <c r="P10" i="25"/>
  <c r="L10" i="25"/>
  <c r="D10" i="25"/>
  <c r="AJ9" i="25"/>
  <c r="T9" i="25"/>
  <c r="P9" i="25"/>
  <c r="L9" i="25"/>
  <c r="D9" i="25"/>
  <c r="AJ8" i="25"/>
  <c r="T8" i="25"/>
  <c r="P8" i="25"/>
  <c r="L8" i="25"/>
  <c r="D8" i="25"/>
  <c r="AJ7" i="25"/>
  <c r="T7" i="25"/>
  <c r="P7" i="25"/>
  <c r="L7" i="25"/>
  <c r="D7" i="25"/>
  <c r="AN15" i="25"/>
  <c r="AS14" i="25" s="1"/>
  <c r="AJ6" i="25"/>
  <c r="X15" i="25"/>
  <c r="AS10" i="25" s="1"/>
  <c r="T6" i="25"/>
  <c r="P6" i="25"/>
  <c r="D6" i="25"/>
  <c r="AJ5" i="25"/>
  <c r="AB15" i="25"/>
  <c r="AS11" i="25" s="1"/>
  <c r="T5" i="25"/>
  <c r="P5" i="25"/>
  <c r="L5" i="25"/>
  <c r="D5" i="25"/>
  <c r="AF15" i="24"/>
  <c r="AS12" i="24" s="1"/>
  <c r="X15" i="24"/>
  <c r="AS10" i="24" s="1"/>
  <c r="H15" i="24"/>
  <c r="AS6" i="24" s="1"/>
  <c r="AN14" i="24"/>
  <c r="T14" i="24"/>
  <c r="P14" i="24"/>
  <c r="L14" i="24"/>
  <c r="D14" i="24"/>
  <c r="AN13" i="24"/>
  <c r="T13" i="24"/>
  <c r="P13" i="24"/>
  <c r="D13" i="24"/>
  <c r="AT13" i="24" s="1"/>
  <c r="AN12" i="24"/>
  <c r="T12" i="24"/>
  <c r="P12" i="24"/>
  <c r="L12" i="24"/>
  <c r="D12" i="24"/>
  <c r="AN11" i="24"/>
  <c r="T11" i="24"/>
  <c r="P11" i="24"/>
  <c r="L11" i="24"/>
  <c r="D11" i="24"/>
  <c r="AT11" i="24" s="1"/>
  <c r="AN10" i="24"/>
  <c r="T10" i="24"/>
  <c r="P10" i="24"/>
  <c r="L10" i="24"/>
  <c r="D10" i="24"/>
  <c r="AN9" i="24"/>
  <c r="T9" i="24"/>
  <c r="P9" i="24"/>
  <c r="L9" i="24"/>
  <c r="D9" i="24"/>
  <c r="AN8" i="24"/>
  <c r="AJ8" i="24"/>
  <c r="T8" i="24"/>
  <c r="P8" i="24"/>
  <c r="L8" i="24"/>
  <c r="D8" i="24"/>
  <c r="AN7" i="24"/>
  <c r="T7" i="24"/>
  <c r="P7" i="24"/>
  <c r="L7" i="24"/>
  <c r="D7" i="24"/>
  <c r="AN6" i="24"/>
  <c r="AJ6" i="24"/>
  <c r="AT6" i="24" s="1"/>
  <c r="X6" i="24"/>
  <c r="T6" i="24"/>
  <c r="P6" i="24"/>
  <c r="D6" i="24"/>
  <c r="AJ5" i="24"/>
  <c r="AB15" i="24"/>
  <c r="AS11" i="24" s="1"/>
  <c r="T5" i="24"/>
  <c r="P5" i="24"/>
  <c r="D5" i="24"/>
  <c r="AF15" i="23"/>
  <c r="AS12" i="23" s="1"/>
  <c r="T14" i="23"/>
  <c r="P14" i="23"/>
  <c r="L14" i="23"/>
  <c r="D14" i="23"/>
  <c r="T13" i="23"/>
  <c r="P13" i="23"/>
  <c r="L13" i="23"/>
  <c r="D13" i="23"/>
  <c r="P12" i="23"/>
  <c r="L12" i="23"/>
  <c r="D12" i="23"/>
  <c r="T11" i="23"/>
  <c r="P11" i="23"/>
  <c r="L11" i="23"/>
  <c r="D11" i="23"/>
  <c r="T10" i="23"/>
  <c r="P10" i="23"/>
  <c r="L10" i="23"/>
  <c r="D10" i="23"/>
  <c r="P9" i="23"/>
  <c r="L9" i="23"/>
  <c r="D9" i="23"/>
  <c r="P8" i="23"/>
  <c r="L8" i="23"/>
  <c r="D8" i="23"/>
  <c r="P7" i="23"/>
  <c r="L7" i="23"/>
  <c r="D7" i="23"/>
  <c r="AJ6" i="23"/>
  <c r="X15" i="23"/>
  <c r="AS10" i="23" s="1"/>
  <c r="D6" i="23"/>
  <c r="AJ5" i="23"/>
  <c r="AB15" i="23"/>
  <c r="AS11" i="23" s="1"/>
  <c r="P5" i="23"/>
  <c r="L5" i="23"/>
  <c r="D5" i="23"/>
  <c r="AN7" i="22"/>
  <c r="AN8" i="22"/>
  <c r="AN9" i="22"/>
  <c r="AN10" i="22"/>
  <c r="AN11" i="22"/>
  <c r="AN12" i="22"/>
  <c r="AN13" i="22"/>
  <c r="AN14" i="22"/>
  <c r="AN6" i="22"/>
  <c r="X6" i="22"/>
  <c r="AJ5" i="22"/>
  <c r="AJ6" i="22"/>
  <c r="AJ7" i="22"/>
  <c r="AJ8" i="22"/>
  <c r="AB6" i="22"/>
  <c r="AB7" i="22"/>
  <c r="AB8" i="22"/>
  <c r="AB9" i="22"/>
  <c r="AB10" i="22"/>
  <c r="AB5" i="22"/>
  <c r="P5" i="22"/>
  <c r="P6" i="22"/>
  <c r="T5" i="22"/>
  <c r="D6" i="22"/>
  <c r="D7" i="22"/>
  <c r="D8" i="22"/>
  <c r="D9" i="22"/>
  <c r="D10" i="22"/>
  <c r="D11" i="22"/>
  <c r="D12" i="22"/>
  <c r="D13" i="22"/>
  <c r="D14" i="22"/>
  <c r="AF15" i="22"/>
  <c r="AS12" i="22" s="1"/>
  <c r="AJ14" i="22"/>
  <c r="T14" i="22"/>
  <c r="P14" i="22"/>
  <c r="L14" i="22"/>
  <c r="AJ13" i="22"/>
  <c r="T13" i="22"/>
  <c r="P13" i="22"/>
  <c r="L13" i="22"/>
  <c r="AJ12" i="22"/>
  <c r="T12" i="22"/>
  <c r="P12" i="22"/>
  <c r="L12" i="22"/>
  <c r="AJ11" i="22"/>
  <c r="T11" i="22"/>
  <c r="P11" i="22"/>
  <c r="L11" i="22"/>
  <c r="AJ10" i="22"/>
  <c r="T10" i="22"/>
  <c r="P10" i="22"/>
  <c r="L10" i="22"/>
  <c r="AJ9" i="22"/>
  <c r="T9" i="22"/>
  <c r="P9" i="22"/>
  <c r="L9" i="22"/>
  <c r="X15" i="22"/>
  <c r="AS10" i="22" s="1"/>
  <c r="T8" i="22"/>
  <c r="P8" i="22"/>
  <c r="L8" i="22"/>
  <c r="T7" i="22"/>
  <c r="P7" i="22"/>
  <c r="L7" i="22"/>
  <c r="T6" i="22"/>
  <c r="L5" i="22"/>
  <c r="D5" i="22"/>
  <c r="X14" i="21"/>
  <c r="X13" i="21"/>
  <c r="H11" i="21"/>
  <c r="H12" i="21"/>
  <c r="H13" i="21"/>
  <c r="H14" i="21"/>
  <c r="AJ10" i="21"/>
  <c r="AJ11" i="21"/>
  <c r="AJ12" i="21"/>
  <c r="AJ13" i="21"/>
  <c r="AJ14" i="21"/>
  <c r="H10" i="21"/>
  <c r="AJ9" i="21"/>
  <c r="X9" i="21"/>
  <c r="AJ8" i="21"/>
  <c r="P13" i="21"/>
  <c r="P14" i="21"/>
  <c r="P8" i="21"/>
  <c r="P9" i="21"/>
  <c r="P10" i="21"/>
  <c r="P11" i="21"/>
  <c r="P12" i="21"/>
  <c r="P7" i="21"/>
  <c r="P15" i="21" s="1"/>
  <c r="AF15" i="21"/>
  <c r="AS12" i="21" s="1"/>
  <c r="AB15" i="21"/>
  <c r="AS11" i="21" s="1"/>
  <c r="T14" i="21"/>
  <c r="L14" i="21"/>
  <c r="D14" i="21"/>
  <c r="T13" i="21"/>
  <c r="L13" i="21"/>
  <c r="X12" i="21"/>
  <c r="T12" i="21"/>
  <c r="L12" i="21"/>
  <c r="D12" i="21"/>
  <c r="X11" i="21"/>
  <c r="T11" i="21"/>
  <c r="L11" i="21"/>
  <c r="D11" i="21"/>
  <c r="X10" i="21"/>
  <c r="T10" i="21"/>
  <c r="L10" i="21"/>
  <c r="T9" i="21"/>
  <c r="L9" i="21"/>
  <c r="D9" i="21"/>
  <c r="X8" i="21"/>
  <c r="T8" i="21"/>
  <c r="L8" i="21"/>
  <c r="D8" i="21"/>
  <c r="T7" i="21"/>
  <c r="L7" i="21"/>
  <c r="AN15" i="21"/>
  <c r="AS14" i="21" s="1"/>
  <c r="T6" i="21"/>
  <c r="L6" i="21"/>
  <c r="D6" i="21"/>
  <c r="L5" i="21"/>
  <c r="D5" i="21"/>
  <c r="AS8" i="10"/>
  <c r="AJ14" i="10"/>
  <c r="P15" i="10"/>
  <c r="P14" i="10"/>
  <c r="AJ13" i="10"/>
  <c r="P13" i="10"/>
  <c r="X11" i="10"/>
  <c r="X12" i="10"/>
  <c r="X10" i="10"/>
  <c r="X8" i="10"/>
  <c r="AN8" i="10"/>
  <c r="AN9" i="10"/>
  <c r="AN10" i="10"/>
  <c r="AN11" i="10"/>
  <c r="AN7" i="10"/>
  <c r="AN6" i="10"/>
  <c r="T9" i="10"/>
  <c r="AF15" i="10"/>
  <c r="AS12" i="10" s="1"/>
  <c r="AB15" i="10"/>
  <c r="AS11" i="10" s="1"/>
  <c r="H15" i="10"/>
  <c r="AS6" i="10" s="1"/>
  <c r="T14" i="10"/>
  <c r="L14" i="10"/>
  <c r="D14" i="10"/>
  <c r="T13" i="10"/>
  <c r="L13" i="10"/>
  <c r="D13" i="10"/>
  <c r="T12" i="10"/>
  <c r="L12" i="10"/>
  <c r="D12" i="10"/>
  <c r="T11" i="10"/>
  <c r="L11" i="10"/>
  <c r="D11" i="10"/>
  <c r="T10" i="10"/>
  <c r="L10" i="10"/>
  <c r="D10" i="10"/>
  <c r="L9" i="10"/>
  <c r="D9" i="10"/>
  <c r="T8" i="10"/>
  <c r="L8" i="10"/>
  <c r="D8" i="10"/>
  <c r="T7" i="10"/>
  <c r="L7" i="10"/>
  <c r="D7" i="10"/>
  <c r="T6" i="10"/>
  <c r="L6" i="10"/>
  <c r="D6" i="10"/>
  <c r="AJ15" i="10"/>
  <c r="AS13" i="10" s="1"/>
  <c r="T5" i="10"/>
  <c r="L5" i="10"/>
  <c r="D5" i="10"/>
  <c r="D9" i="19"/>
  <c r="T5" i="19"/>
  <c r="T6" i="19"/>
  <c r="T7" i="19"/>
  <c r="T8" i="19"/>
  <c r="T10" i="19"/>
  <c r="T11" i="19"/>
  <c r="T12" i="19"/>
  <c r="D5" i="19"/>
  <c r="D6" i="19"/>
  <c r="D7" i="19"/>
  <c r="D8" i="19"/>
  <c r="D10" i="19"/>
  <c r="D11" i="19"/>
  <c r="D12" i="19"/>
  <c r="D13" i="19"/>
  <c r="D14" i="19"/>
  <c r="AN15" i="19"/>
  <c r="AS14" i="19" s="1"/>
  <c r="AB15" i="19"/>
  <c r="AS11" i="19" s="1"/>
  <c r="X15" i="19"/>
  <c r="AS10" i="19" s="1"/>
  <c r="H15" i="19"/>
  <c r="AS6" i="19" s="1"/>
  <c r="T14" i="19"/>
  <c r="L14" i="19"/>
  <c r="T13" i="19"/>
  <c r="L13" i="19"/>
  <c r="L12" i="19"/>
  <c r="L11" i="19"/>
  <c r="L10" i="19"/>
  <c r="L9" i="19"/>
  <c r="L8" i="19"/>
  <c r="L7" i="19"/>
  <c r="AJ6" i="19"/>
  <c r="L6" i="19"/>
  <c r="AJ5" i="19"/>
  <c r="L5" i="19"/>
  <c r="AS14" i="6"/>
  <c r="AS13" i="6"/>
  <c r="AS12" i="6"/>
  <c r="AS11" i="6"/>
  <c r="AS10" i="6"/>
  <c r="AS9" i="6"/>
  <c r="AS7" i="6"/>
  <c r="AS6" i="6"/>
  <c r="AS5" i="6"/>
  <c r="AF14" i="6"/>
  <c r="T14" i="6"/>
  <c r="L14" i="6"/>
  <c r="AF13" i="6"/>
  <c r="T13" i="6"/>
  <c r="L13" i="6"/>
  <c r="AF12" i="6"/>
  <c r="L12" i="6"/>
  <c r="AF11" i="6"/>
  <c r="L11" i="6"/>
  <c r="AF10" i="6"/>
  <c r="L10" i="6"/>
  <c r="AJ9" i="6"/>
  <c r="AF9" i="6"/>
  <c r="L9" i="6"/>
  <c r="L7" i="6"/>
  <c r="L8" i="6"/>
  <c r="AF8" i="6"/>
  <c r="AJ8" i="6"/>
  <c r="AF7" i="6"/>
  <c r="AJ7" i="6"/>
  <c r="AJ6" i="6"/>
  <c r="AF6" i="6"/>
  <c r="L6" i="6"/>
  <c r="AJ5" i="6"/>
  <c r="AF5" i="6"/>
  <c r="AT5" i="6" s="1"/>
  <c r="L5" i="6"/>
  <c r="D6" i="6"/>
  <c r="D7" i="6"/>
  <c r="D8" i="6"/>
  <c r="AT8" i="6" s="1"/>
  <c r="D9" i="6"/>
  <c r="D10" i="6"/>
  <c r="AT10" i="6" s="1"/>
  <c r="D11" i="6"/>
  <c r="D12" i="6"/>
  <c r="AT12" i="6" s="1"/>
  <c r="D13" i="6"/>
  <c r="D14" i="6"/>
  <c r="D5" i="6"/>
  <c r="D5" i="4"/>
  <c r="AF15" i="6"/>
  <c r="AB15" i="6"/>
  <c r="X15" i="6"/>
  <c r="H15" i="6"/>
  <c r="AN15" i="6"/>
  <c r="AT6" i="4"/>
  <c r="T15" i="4"/>
  <c r="X15" i="4"/>
  <c r="AB15" i="4"/>
  <c r="AF15" i="4"/>
  <c r="AN10" i="4"/>
  <c r="AN11" i="4"/>
  <c r="AN15" i="4" s="1"/>
  <c r="AN12" i="4"/>
  <c r="AT12" i="4" s="1"/>
  <c r="AN13" i="4"/>
  <c r="AN14" i="4"/>
  <c r="AN9" i="4"/>
  <c r="AJ9" i="4"/>
  <c r="AJ10" i="4"/>
  <c r="AJ11" i="4"/>
  <c r="AJ12" i="4"/>
  <c r="AJ13" i="4"/>
  <c r="AJ14" i="4"/>
  <c r="AJ8" i="4"/>
  <c r="AJ15" i="4" s="1"/>
  <c r="L6" i="4"/>
  <c r="L7" i="4"/>
  <c r="L8" i="4"/>
  <c r="L9" i="4"/>
  <c r="L10" i="4"/>
  <c r="L11" i="4"/>
  <c r="L12" i="4"/>
  <c r="L13" i="4"/>
  <c r="L14" i="4"/>
  <c r="L5" i="4"/>
  <c r="L15" i="4" s="1"/>
  <c r="H11" i="4"/>
  <c r="H12" i="4"/>
  <c r="H13" i="4"/>
  <c r="H14" i="4"/>
  <c r="H10" i="4"/>
  <c r="H15" i="4" s="1"/>
  <c r="D6" i="4"/>
  <c r="D15" i="4" s="1"/>
  <c r="D7" i="4"/>
  <c r="AT7" i="4" s="1"/>
  <c r="D8" i="4"/>
  <c r="AT8" i="4" s="1"/>
  <c r="D9" i="4"/>
  <c r="AT9" i="4" s="1"/>
  <c r="D10" i="4"/>
  <c r="AT10" i="4" s="1"/>
  <c r="D11" i="4"/>
  <c r="AT11" i="4" s="1"/>
  <c r="D12" i="4"/>
  <c r="D13" i="4"/>
  <c r="AT13" i="4" s="1"/>
  <c r="D14" i="4"/>
  <c r="AT14" i="4" s="1"/>
  <c r="AT14" i="26" l="1"/>
  <c r="AT13" i="26"/>
  <c r="AT12" i="26"/>
  <c r="AT11" i="26"/>
  <c r="AT10" i="26"/>
  <c r="AT9" i="26"/>
  <c r="AJ15" i="26"/>
  <c r="AS13" i="26" s="1"/>
  <c r="AT8" i="26"/>
  <c r="L15" i="26"/>
  <c r="AS7" i="26" s="1"/>
  <c r="D15" i="26"/>
  <c r="AS5" i="26" s="1"/>
  <c r="T15" i="26"/>
  <c r="AS9" i="26" s="1"/>
  <c r="AT7" i="26"/>
  <c r="AT6" i="26"/>
  <c r="P15" i="26"/>
  <c r="AS8" i="26" s="1"/>
  <c r="AT5" i="26"/>
  <c r="AT14" i="25"/>
  <c r="AT13" i="25"/>
  <c r="AT12" i="25"/>
  <c r="AT11" i="25"/>
  <c r="AT10" i="25"/>
  <c r="AT9" i="25"/>
  <c r="L15" i="25"/>
  <c r="AS7" i="25" s="1"/>
  <c r="AT8" i="25"/>
  <c r="AT7" i="25"/>
  <c r="AT6" i="25"/>
  <c r="AJ15" i="25"/>
  <c r="AS13" i="25" s="1"/>
  <c r="T15" i="25"/>
  <c r="AS9" i="25" s="1"/>
  <c r="P15" i="25"/>
  <c r="AS8" i="25" s="1"/>
  <c r="AT5" i="25"/>
  <c r="D15" i="25"/>
  <c r="AS5" i="25" s="1"/>
  <c r="AT14" i="24"/>
  <c r="AT12" i="24"/>
  <c r="AT10" i="24"/>
  <c r="AT9" i="24"/>
  <c r="AT8" i="24"/>
  <c r="L15" i="24"/>
  <c r="AS7" i="24" s="1"/>
  <c r="AT7" i="24"/>
  <c r="AN15" i="24"/>
  <c r="AS14" i="24" s="1"/>
  <c r="AJ15" i="24"/>
  <c r="AS13" i="24" s="1"/>
  <c r="T15" i="24"/>
  <c r="AS9" i="24" s="1"/>
  <c r="P15" i="24"/>
  <c r="AS8" i="24" s="1"/>
  <c r="D15" i="24"/>
  <c r="AS5" i="24" s="1"/>
  <c r="AT5" i="24"/>
  <c r="AT14" i="23"/>
  <c r="AT13" i="23"/>
  <c r="AT11" i="23"/>
  <c r="AT10" i="23"/>
  <c r="AT9" i="23"/>
  <c r="AT8" i="23"/>
  <c r="L15" i="23"/>
  <c r="AS7" i="23" s="1"/>
  <c r="H15" i="23"/>
  <c r="AS6" i="23" s="1"/>
  <c r="AT7" i="23"/>
  <c r="AJ15" i="23"/>
  <c r="AS13" i="23" s="1"/>
  <c r="AT6" i="23"/>
  <c r="D15" i="23"/>
  <c r="AS5" i="23" s="1"/>
  <c r="T15" i="23"/>
  <c r="AS9" i="23" s="1"/>
  <c r="P15" i="23"/>
  <c r="AS8" i="23" s="1"/>
  <c r="AS14" i="23"/>
  <c r="AT12" i="23"/>
  <c r="AT5" i="23"/>
  <c r="AT13" i="22"/>
  <c r="AT12" i="22"/>
  <c r="AT11" i="22"/>
  <c r="AT10" i="22"/>
  <c r="AN15" i="22"/>
  <c r="AS14" i="22" s="1"/>
  <c r="AT9" i="22"/>
  <c r="AT8" i="22"/>
  <c r="AB15" i="22"/>
  <c r="AS11" i="22" s="1"/>
  <c r="L15" i="22"/>
  <c r="AS7" i="22" s="1"/>
  <c r="AJ15" i="22"/>
  <c r="AS13" i="22" s="1"/>
  <c r="AT6" i="22"/>
  <c r="P15" i="22"/>
  <c r="AS8" i="22" s="1"/>
  <c r="AT5" i="22"/>
  <c r="T15" i="22"/>
  <c r="AS9" i="22" s="1"/>
  <c r="H15" i="22"/>
  <c r="AS6" i="22" s="1"/>
  <c r="AT7" i="22"/>
  <c r="AT14" i="22"/>
  <c r="D15" i="22"/>
  <c r="AS5" i="22" s="1"/>
  <c r="AT14" i="21"/>
  <c r="AT13" i="21"/>
  <c r="AJ15" i="21"/>
  <c r="AS13" i="21" s="1"/>
  <c r="AT12" i="21"/>
  <c r="H15" i="21"/>
  <c r="AS6" i="21" s="1"/>
  <c r="AT11" i="21"/>
  <c r="X15" i="21"/>
  <c r="AS10" i="21" s="1"/>
  <c r="AT9" i="21"/>
  <c r="AT8" i="21"/>
  <c r="AT7" i="21"/>
  <c r="T15" i="21"/>
  <c r="AS9" i="21" s="1"/>
  <c r="AS8" i="21"/>
  <c r="L15" i="21"/>
  <c r="AS7" i="21" s="1"/>
  <c r="AT6" i="21"/>
  <c r="AT5" i="21"/>
  <c r="AT10" i="21"/>
  <c r="D15" i="21"/>
  <c r="AS5" i="21" s="1"/>
  <c r="AT14" i="10"/>
  <c r="AT13" i="10"/>
  <c r="X15" i="10"/>
  <c r="AS10" i="10" s="1"/>
  <c r="AT12" i="10"/>
  <c r="AT11" i="10"/>
  <c r="AT10" i="10"/>
  <c r="AT9" i="10"/>
  <c r="AT8" i="10"/>
  <c r="AN15" i="10"/>
  <c r="AS14" i="10" s="1"/>
  <c r="AT7" i="10"/>
  <c r="T15" i="10"/>
  <c r="AS9" i="10" s="1"/>
  <c r="AT5" i="10"/>
  <c r="L15" i="10"/>
  <c r="AS7" i="10" s="1"/>
  <c r="AT6" i="10"/>
  <c r="D15" i="10"/>
  <c r="AS5" i="10" s="1"/>
  <c r="AT13" i="19"/>
  <c r="AT12" i="19"/>
  <c r="AT9" i="19"/>
  <c r="AT6" i="19"/>
  <c r="AT14" i="19"/>
  <c r="AT11" i="19"/>
  <c r="AT10" i="19"/>
  <c r="AT7" i="19"/>
  <c r="T15" i="19"/>
  <c r="AS9" i="19" s="1"/>
  <c r="AJ15" i="19"/>
  <c r="AS13" i="19" s="1"/>
  <c r="AF15" i="19"/>
  <c r="AS12" i="19" s="1"/>
  <c r="L15" i="19"/>
  <c r="AS7" i="19" s="1"/>
  <c r="D15" i="19"/>
  <c r="AS5" i="19" s="1"/>
  <c r="AT8" i="19"/>
  <c r="AT5" i="19"/>
  <c r="T15" i="6"/>
  <c r="AT14" i="6"/>
  <c r="AT13" i="6"/>
  <c r="AT11" i="6"/>
  <c r="D15" i="6"/>
  <c r="AT9" i="6"/>
  <c r="L15" i="6"/>
  <c r="AT7" i="6"/>
  <c r="AJ15" i="6"/>
  <c r="AT6" i="6"/>
  <c r="AT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tc={CE2EE44A-5193-46B5-BD05-6AAB35204CBE}</author>
  </authors>
  <commentList>
    <comment ref="E1" authorId="0" shapeId="0" xr:uid="{CE2EE44A-5193-46B5-BD05-6AAB35204CBE}">
      <text>
        <t>[Threaded comment]
Your version of Excel allows you to read this threaded comment; however, any edits to it will get removed if the file is opened in a newer version of Excel. Learn more: https://go.microsoft.com/fwlink/?linkid=870924
Comment:
    GPT5 created this category column</t>
      </text>
    </comment>
  </commentList>
</comments>
</file>

<file path=xl/sharedStrings.xml><?xml version="1.0" encoding="utf-8"?>
<sst xmlns="http://schemas.openxmlformats.org/spreadsheetml/2006/main" count="4236" uniqueCount="570">
  <si>
    <t>Claude Sonnet 4</t>
  </si>
  <si>
    <t>Perplexity</t>
  </si>
  <si>
    <t>DeepSeek V3</t>
  </si>
  <si>
    <t>Llama-4-Scout-nitro</t>
  </si>
  <si>
    <t>Grok-3</t>
  </si>
  <si>
    <t>Qwen3-235b-a22b</t>
  </si>
  <si>
    <t>Falcon-H1-3B-Instruct</t>
  </si>
  <si>
    <t>Model</t>
  </si>
  <si>
    <t>GPT-3.5 or GPT-4</t>
  </si>
  <si>
    <t>GPT-3 or GPT-4</t>
  </si>
  <si>
    <t>NA</t>
  </si>
  <si>
    <t>GPT-4</t>
  </si>
  <si>
    <t>GPT-3</t>
  </si>
  <si>
    <t>GPT-4 or GPT-4o</t>
  </si>
  <si>
    <t>Gemini, SGE</t>
  </si>
  <si>
    <t>GPT-4 or Claude</t>
  </si>
  <si>
    <t>GPT-3, LLaMA</t>
  </si>
  <si>
    <t>GPT-4 or earlier or Grok (xAI)</t>
  </si>
  <si>
    <t xml:space="preserve">Gemini,  GPT-4 and later, Claude 3 </t>
  </si>
  <si>
    <t>GPT-3.5, GPT-4, Gemini</t>
  </si>
  <si>
    <t>GPT-4 or Gemini</t>
  </si>
  <si>
    <t>GPT-3.5 or GPT-4, Claude</t>
  </si>
  <si>
    <r>
      <t>GPT-3, GPT-3.5</t>
    </r>
    <r>
      <rPr>
        <sz val="11"/>
        <color rgb="FF4A5565"/>
        <rFont val="Calibri"/>
        <family val="2"/>
        <scheme val="minor"/>
      </rPr>
      <t>, </t>
    </r>
    <r>
      <rPr>
        <sz val="11"/>
        <color theme="1"/>
        <rFont val="Calibri"/>
        <family val="2"/>
        <scheme val="minor"/>
      </rPr>
      <t>Llama 2, Llama 3</t>
    </r>
  </si>
  <si>
    <r>
      <t>GPT-3, GPT-3.5</t>
    </r>
    <r>
      <rPr>
        <sz val="11"/>
        <color rgb="FF4A5565"/>
        <rFont val="Calibri"/>
        <family val="2"/>
        <scheme val="minor"/>
      </rPr>
      <t xml:space="preserve">, </t>
    </r>
    <r>
      <rPr>
        <sz val="11"/>
        <color theme="1"/>
        <rFont val="Calibri"/>
        <family val="2"/>
        <scheme val="minor"/>
      </rPr>
      <t>Llama 2/3</t>
    </r>
    <r>
      <rPr>
        <sz val="11"/>
        <color rgb="FF4A5565"/>
        <rFont val="Calibri"/>
        <family val="2"/>
        <scheme val="minor"/>
      </rPr>
      <t>,  </t>
    </r>
    <r>
      <rPr>
        <sz val="11"/>
        <color theme="1"/>
        <rFont val="Calibri"/>
        <family val="2"/>
        <scheme val="minor"/>
      </rPr>
      <t>Claude 2/3</t>
    </r>
  </si>
  <si>
    <r>
      <t> </t>
    </r>
    <r>
      <rPr>
        <sz val="11"/>
        <color theme="1"/>
        <rFont val="Calibri"/>
        <family val="2"/>
        <scheme val="minor"/>
      </rPr>
      <t>GPT-3.5</t>
    </r>
    <r>
      <rPr>
        <sz val="11"/>
        <color rgb="FF4A5565"/>
        <rFont val="Calibri"/>
        <family val="2"/>
        <scheme val="minor"/>
      </rPr>
      <t>, </t>
    </r>
    <r>
      <rPr>
        <sz val="11"/>
        <color theme="1"/>
        <rFont val="Calibri"/>
        <family val="2"/>
        <scheme val="minor"/>
      </rPr>
      <t>GPT-4</t>
    </r>
    <r>
      <rPr>
        <sz val="11"/>
        <color rgb="FF4A5565"/>
        <rFont val="Calibri"/>
        <family val="2"/>
        <scheme val="minor"/>
      </rPr>
      <t>, </t>
    </r>
    <r>
      <rPr>
        <sz val="11"/>
        <color theme="1"/>
        <rFont val="Calibri"/>
        <family val="2"/>
        <scheme val="minor"/>
      </rPr>
      <t>Llama 3</t>
    </r>
    <r>
      <rPr>
        <sz val="11"/>
        <color rgb="FF4A5565"/>
        <rFont val="Calibri"/>
        <family val="2"/>
        <scheme val="minor"/>
      </rPr>
      <t>, or </t>
    </r>
    <r>
      <rPr>
        <sz val="11"/>
        <color theme="1"/>
        <rFont val="Calibri"/>
        <family val="2"/>
        <scheme val="minor"/>
      </rPr>
      <t>Claude 3</t>
    </r>
  </si>
  <si>
    <t>ChatGPT-4o</t>
  </si>
  <si>
    <t>Generating Models</t>
  </si>
  <si>
    <t>Detecting Models</t>
  </si>
  <si>
    <t>Min Percent</t>
  </si>
  <si>
    <t>Max Percent</t>
  </si>
  <si>
    <t>Gemini 2.5 Pro</t>
  </si>
  <si>
    <t>Avg. Percent</t>
  </si>
  <si>
    <t>Suggested 
Models</t>
  </si>
  <si>
    <t>Mean</t>
  </si>
  <si>
    <t>Ability to detect</t>
  </si>
  <si>
    <t>Ability to be detected</t>
  </si>
  <si>
    <t>GPT-4, GPT-4o, Claude 3, Gemini 1.5</t>
  </si>
  <si>
    <t>GPT-3.5, GPT-4, PaLM 2, Gemini</t>
  </si>
  <si>
    <t>GPT-3.5, GPT-4</t>
  </si>
  <si>
    <t>GPT-3, GPT-4, Claude</t>
  </si>
  <si>
    <t>LLaMA, BLOOM</t>
  </si>
  <si>
    <t>Claude, GPT-4</t>
  </si>
  <si>
    <r>
      <t>GPT-3.5</t>
    </r>
    <r>
      <rPr>
        <sz val="10"/>
        <color rgb="FF4A5565"/>
        <rFont val="Source Sans Pro"/>
        <family val="2"/>
      </rPr>
      <t>, </t>
    </r>
    <r>
      <rPr>
        <sz val="10"/>
        <color theme="1"/>
        <rFont val="Source Sans Pro"/>
        <family val="2"/>
      </rPr>
      <t>GPT-4</t>
    </r>
    <r>
      <rPr>
        <sz val="10"/>
        <color rgb="FF4A5565"/>
        <rFont val="Source Sans Pro"/>
        <family val="2"/>
      </rPr>
      <t>, </t>
    </r>
    <r>
      <rPr>
        <sz val="10"/>
        <color theme="1"/>
        <rFont val="Source Sans Pro"/>
        <family val="2"/>
      </rPr>
      <t>Llama 3</t>
    </r>
    <r>
      <rPr>
        <sz val="10"/>
        <color rgb="FF4A5565"/>
        <rFont val="Source Sans Pro"/>
        <family val="2"/>
      </rPr>
      <t>,  </t>
    </r>
    <r>
      <rPr>
        <sz val="10"/>
        <color theme="1"/>
        <rFont val="Source Sans Pro"/>
        <family val="2"/>
      </rPr>
      <t>Claude 3</t>
    </r>
  </si>
  <si>
    <t>GPT-4,  Claude 3, Gemini 1.5</t>
  </si>
  <si>
    <t xml:space="preserve">GPT-4,  Gemini </t>
  </si>
  <si>
    <t>Perplexity AI</t>
  </si>
  <si>
    <t>T5, BART</t>
  </si>
  <si>
    <t>LLaMA, T5</t>
  </si>
  <si>
    <t>GPT-3, GPT-4, Claude, Gemini</t>
  </si>
  <si>
    <t>GPT-4, Claude</t>
  </si>
  <si>
    <t>GPT-4, Claude 3</t>
  </si>
  <si>
    <t xml:space="preserve"> GPT-4</t>
  </si>
  <si>
    <t>LLaMA, BLOOM, BERT</t>
  </si>
  <si>
    <t>GPT-4, Gemini, Llama</t>
  </si>
  <si>
    <t>GPT-4, Claude 2/3</t>
  </si>
  <si>
    <t>BERT, RoBERTa</t>
  </si>
  <si>
    <t>Claude</t>
  </si>
  <si>
    <t>GPT-4, Gemini</t>
  </si>
  <si>
    <t>Human</t>
  </si>
  <si>
    <t>GPT-3.5 or GPT-4, Gemini 1.0, 1.5, Llama 3</t>
  </si>
  <si>
    <t>GPT-4, Claude, Gemini</t>
  </si>
  <si>
    <t>GPT-4, Gemini, Llama 3</t>
  </si>
  <si>
    <t>GPT-4, GPT-4o, Claude 3.5 Sonnet, , Gemini Pro</t>
  </si>
  <si>
    <t>GPT-3.5, GPT-4, Claude, Bard, Gemini</t>
  </si>
  <si>
    <t xml:space="preserve">GPT-3.5, GPT-4, Claude 3, Gemini </t>
  </si>
  <si>
    <t>GPT-4, GPT-4o</t>
  </si>
  <si>
    <t xml:space="preserve">GPT-3.5, GPT-4, Claude 3 </t>
  </si>
  <si>
    <t>GPT, Claude</t>
  </si>
  <si>
    <t>GPT-3.5, GPT-4, Claude, GitHub,</t>
  </si>
  <si>
    <t>Pro</t>
  </si>
  <si>
    <t>GPT-4, GPT-4 turbo</t>
  </si>
  <si>
    <t>BERT, RoBERTa,  Longformer</t>
  </si>
  <si>
    <t>GPT-3.5 or GPT-4, Claude 3, Llama</t>
  </si>
  <si>
    <t>GPT-3.5</t>
  </si>
  <si>
    <t>BERT, RoBERTa, T5</t>
  </si>
  <si>
    <t>GPT-3.5 or GPT-4, Llama</t>
  </si>
  <si>
    <t>GPT 5 all</t>
  </si>
  <si>
    <t>GPT-4, BARD, Claude</t>
  </si>
  <si>
    <t>GPT-3, GPT-4</t>
  </si>
  <si>
    <t>LLaMA, BART, RoBERTa</t>
  </si>
  <si>
    <t>Copilot, Gemini</t>
  </si>
  <si>
    <t>Grammerly, GPT</t>
  </si>
  <si>
    <t>GPT-4, Claude 3, Gemini Advanced</t>
  </si>
  <si>
    <t>GPT-4, GPT-4o, Claude 3, Gemini Advanced</t>
  </si>
  <si>
    <t>GPT-4, Claude 3, Gemini 1.5</t>
  </si>
  <si>
    <t>BART, RoBERTa</t>
  </si>
  <si>
    <t>LLaMA, RoBERTa</t>
  </si>
  <si>
    <t>LLaMA</t>
  </si>
  <si>
    <t>GPT 3.5, GPT-4, Gemini, Mistral AI</t>
  </si>
  <si>
    <t>LLaMA, BART</t>
  </si>
  <si>
    <t xml:space="preserve"> GPT-4, Gemini, Mistral AI</t>
  </si>
  <si>
    <t>LLaMA, BERT</t>
  </si>
  <si>
    <t xml:space="preserve">GPT-3.5 </t>
  </si>
  <si>
    <t>T5, Longformer</t>
  </si>
  <si>
    <t>BART, T5</t>
  </si>
  <si>
    <t>GPT-4, Claude3, Gemini Advanced</t>
  </si>
  <si>
    <t>GPT-4, Gemini, Mistral AI</t>
  </si>
  <si>
    <t>RoBERTa, Longformer</t>
  </si>
  <si>
    <t>early versions of GPT</t>
  </si>
  <si>
    <t xml:space="preserve"> GPT-4, Claude</t>
  </si>
  <si>
    <t>GPT-3.5 or GPT-4, Claude 2, Claude 3</t>
  </si>
  <si>
    <t>RoBERTa</t>
  </si>
  <si>
    <t>BART</t>
  </si>
  <si>
    <t>GPT-3.5, GPT-4, Claude</t>
  </si>
  <si>
    <t>LLaMA, Longformer</t>
  </si>
  <si>
    <t>Qwen-2, GPT-4</t>
  </si>
  <si>
    <t>Gemini</t>
  </si>
  <si>
    <t>GPT-3.5, PaLM, Llama-2</t>
  </si>
  <si>
    <t>GPT-3.5, GPT-4, Claude 2/3</t>
  </si>
  <si>
    <t>GPT-3.5, Llama 2</t>
  </si>
  <si>
    <t>GPT-3.5, Gemini</t>
  </si>
  <si>
    <t xml:space="preserve"> GPT-4, Claude 3</t>
  </si>
  <si>
    <t>GPT-4, Claude 3 Opus</t>
  </si>
  <si>
    <t>GPT-4, GPT-3.5</t>
  </si>
  <si>
    <t xml:space="preserve"> GPT-4, Gemini, Claude</t>
  </si>
  <si>
    <t>GPT-4, Gemini Advanced</t>
  </si>
  <si>
    <t>GPT-3, GPT-3.5</t>
  </si>
  <si>
    <t>Mistral Le Chat</t>
  </si>
  <si>
    <t>BS</t>
  </si>
  <si>
    <t>CLA</t>
  </si>
  <si>
    <t>Correlation with model age</t>
  </si>
  <si>
    <t>GPT-4, GPT-4o,  GitHub Copilot, Gemini</t>
  </si>
  <si>
    <t>FSM</t>
  </si>
  <si>
    <t>Tasks</t>
  </si>
  <si>
    <t>Avg-Ability to detect</t>
  </si>
  <si>
    <t>I2C</t>
  </si>
  <si>
    <t>MPI</t>
  </si>
  <si>
    <t>MR</t>
  </si>
  <si>
    <t>OOP</t>
  </si>
  <si>
    <t>PI</t>
  </si>
  <si>
    <t>RM</t>
  </si>
  <si>
    <t>SA</t>
  </si>
  <si>
    <t>Min</t>
  </si>
  <si>
    <t>Max</t>
  </si>
  <si>
    <t>TASKS</t>
  </si>
  <si>
    <t>max of all</t>
  </si>
  <si>
    <t>min of all</t>
  </si>
  <si>
    <t>Year</t>
  </si>
  <si>
    <t>First Introduced</t>
  </si>
  <si>
    <t>First Model Name</t>
  </si>
  <si>
    <t>GPT-1</t>
  </si>
  <si>
    <t>Gemini 1.0</t>
  </si>
  <si>
    <t>Claude 1</t>
  </si>
  <si>
    <t>Mistral 7B</t>
  </si>
  <si>
    <t>PPLX in-house models</t>
  </si>
  <si>
    <t>DeepSeek Coder</t>
  </si>
  <si>
    <t>LLaMA 1</t>
  </si>
  <si>
    <t>Grok-1</t>
  </si>
  <si>
    <t>Qwen / Tongyi Qianwen</t>
  </si>
  <si>
    <t>Falcon 40B</t>
  </si>
  <si>
    <t>Strongest pure detectors</t>
  </si>
  <si>
    <t>Hardest to detect</t>
  </si>
  <si>
    <t>Balanced quadrant (high detector &amp; high stealth)</t>
  </si>
  <si>
    <t>Qwen3-235b-a22b, ChatGPT-4o, Grok-3, Gemini 2.5 Pro</t>
  </si>
  <si>
    <t>Powerful but easy to detect (one notable case)</t>
  </si>
  <si>
    <t>Unreliable detector with consistently detectable outputs</t>
  </si>
  <si>
    <t>Falcon-H1-3B-Instruct:</t>
  </si>
  <si>
    <t>High inconsistency warning</t>
  </si>
  <si>
    <t>Top stealth (hardest to detect; lower AI-detectability)</t>
  </si>
  <si>
    <t>Top detectors (highest ability to detect AI)</t>
  </si>
  <si>
    <t>Best tradeoff (good detector &amp; relatively stealthy)</t>
  </si>
  <si>
    <t>Largest variability in ability to detect (inconsistency)</t>
  </si>
  <si>
    <t>Largest variability in detectability (inconsistency)</t>
  </si>
  <si>
    <t>Stealth_Score</t>
  </si>
  <si>
    <t>Detected_Mid</t>
  </si>
  <si>
    <t>Detected_Range</t>
  </si>
  <si>
    <t>Detector_Score</t>
  </si>
  <si>
    <t>Detect_Range</t>
  </si>
  <si>
    <t>Tradeoff_Index</t>
  </si>
  <si>
    <t>Detect_Min</t>
  </si>
  <si>
    <t>Detect_Max</t>
  </si>
  <si>
    <t>Detected_Min</t>
  </si>
  <si>
    <t>Detected_Max</t>
  </si>
  <si>
    <t>Launch_Year</t>
  </si>
  <si>
    <t>Family_First_Year</t>
  </si>
  <si>
    <t>Detect_Mid</t>
  </si>
  <si>
    <t>Rank_Stealth</t>
  </si>
  <si>
    <t>Rank_Detector</t>
  </si>
  <si>
    <t>Model_Age_Y</t>
  </si>
  <si>
    <t>Family_Age_Y</t>
  </si>
  <si>
    <t>Till Aug 2025</t>
  </si>
  <si>
    <t>High detector (93.6) and stable; stealth 18.33 with relatively low variability.</t>
  </si>
  <si>
    <t>Stealth leader (75.83% detected-mid), good detector (88.0) but variable detectability (27.78).</t>
  </si>
  <si>
    <t>Slightly below-median detector (79.85), moderate stealth (16.53).</t>
  </si>
  <si>
    <t>Inconsistent detector (range 48.3), fairly easy to detect (86.89).</t>
  </si>
  <si>
    <t>Moderate detector (75.0), easy to detect (87.92), consistent detectability (15.28).</t>
  </si>
  <si>
    <t>Unreliable detector (0→90), outputs easily detected (87.28) and consistently so.</t>
  </si>
  <si>
    <t>Elite detector (96.0) with solid stealth (17.0) and very stable detection performance (range 6.0).</t>
  </si>
  <si>
    <t>Middle-of-the-pack detector (82.0) with decent stealth (17.53)</t>
  </si>
  <si>
    <t>Top detector (98.0) and very consistent, but easiest to detect itself (88.5% detected-mid).</t>
  </si>
  <si>
    <t>Strong balance (89.5 detector; stealth 19.5) but detectability can swing (26.56).</t>
  </si>
  <si>
    <t>Model-by-model one-liners</t>
  </si>
  <si>
    <t>Best overall trade-off (strong detector yet relatively hard to detect)</t>
  </si>
  <si>
    <t>Llama-4-scout</t>
  </si>
  <si>
    <t>Total</t>
  </si>
  <si>
    <t xml:space="preserve">GPT </t>
  </si>
  <si>
    <t>GitHub Copilot</t>
  </si>
  <si>
    <t>SGE</t>
  </si>
  <si>
    <t>Grok</t>
  </si>
  <si>
    <t>PaLM</t>
  </si>
  <si>
    <t>BLOOM</t>
  </si>
  <si>
    <t>T5</t>
  </si>
  <si>
    <t>BERT</t>
  </si>
  <si>
    <t>BARD</t>
  </si>
  <si>
    <t>GitHub</t>
  </si>
  <si>
    <t>LongFormer</t>
  </si>
  <si>
    <t>Gramerly</t>
  </si>
  <si>
    <t>Mistral</t>
  </si>
  <si>
    <t>QWEN</t>
  </si>
  <si>
    <t>Average</t>
  </si>
  <si>
    <t>GPT</t>
  </si>
  <si>
    <t xml:space="preserve">Mistral </t>
  </si>
  <si>
    <t>Llama</t>
  </si>
  <si>
    <t>Grammerly</t>
  </si>
  <si>
    <t>GROK</t>
  </si>
  <si>
    <t>Decisions:</t>
  </si>
  <si>
    <r>
      <t>Dominant detection</t>
    </r>
    <r>
      <rPr>
        <sz val="11"/>
        <color theme="1"/>
        <rFont val="Calibri"/>
        <family val="2"/>
        <scheme val="minor"/>
      </rPr>
      <t>:</t>
    </r>
    <r>
      <rPr>
        <b/>
        <sz val="11"/>
        <color theme="1"/>
        <rFont val="Calibri"/>
        <family val="2"/>
        <scheme val="minor"/>
      </rPr>
      <t xml:space="preserve"> </t>
    </r>
    <r>
      <rPr>
        <sz val="11"/>
        <color theme="1"/>
        <rFont val="Calibri"/>
        <family val="2"/>
        <scheme val="minor"/>
      </rPr>
      <t>GPT detections are highest (1120 out of 1783 total) → meaning most models tend to classify text as GPT-generated</t>
    </r>
  </si>
  <si>
    <r>
      <rPr>
        <b/>
        <sz val="11"/>
        <color theme="1"/>
        <rFont val="Calibri"/>
        <family val="2"/>
        <scheme val="minor"/>
      </rPr>
      <t>Task-level variation:</t>
    </r>
    <r>
      <rPr>
        <sz val="11"/>
        <color theme="1"/>
        <rFont val="Calibri"/>
        <family val="2"/>
        <scheme val="minor"/>
      </rPr>
      <t xml:space="preserve"> Some tasks (e.g., BS, FSM) show very high GPT counts, while others (e.g., MPI, RM) show stronger Claude or Gemini detections.</t>
    </r>
  </si>
  <si>
    <r>
      <rPr>
        <b/>
        <sz val="11"/>
        <color theme="1"/>
        <rFont val="Calibri"/>
        <family val="2"/>
        <scheme val="minor"/>
      </rPr>
      <t>Model bias:</t>
    </r>
    <r>
      <rPr>
        <sz val="11"/>
        <color theme="1"/>
        <rFont val="Calibri"/>
        <family val="2"/>
        <scheme val="minor"/>
      </rPr>
      <t xml:space="preserve"> Certain models (like Mistral Le Chat, Grok-3) almost never dominate detection → could indicate weaker attribution ability. GPT detectors tend to over-predict GPT.</t>
    </r>
  </si>
  <si>
    <r>
      <rPr>
        <b/>
        <sz val="11"/>
        <color theme="1"/>
        <rFont val="Calibri"/>
        <family val="2"/>
        <scheme val="minor"/>
      </rPr>
      <t>Cross-model confusion:</t>
    </r>
    <r>
      <rPr>
        <sz val="11"/>
        <color theme="1"/>
        <rFont val="Calibri"/>
        <family val="2"/>
        <scheme val="minor"/>
      </rPr>
      <t xml:space="preserve"> LLaMA and Claude are the next most frequently assigned labels after GPT. Gemini also often gets flagged, but less consistently.</t>
    </r>
  </si>
  <si>
    <t>GPT(135)</t>
  </si>
  <si>
    <t>Claude(35)</t>
  </si>
  <si>
    <t>Gemini (11)</t>
  </si>
  <si>
    <t>GPT (101)</t>
  </si>
  <si>
    <t>Gemini (51)</t>
  </si>
  <si>
    <t>Claude(8)</t>
  </si>
  <si>
    <t>GPT(121)</t>
  </si>
  <si>
    <t>Claude(29)</t>
  </si>
  <si>
    <t>Gemini (17)</t>
  </si>
  <si>
    <t>GPT (91)</t>
  </si>
  <si>
    <t>Gemini (55)</t>
  </si>
  <si>
    <t>Claude(36)</t>
  </si>
  <si>
    <t>GPT(131)</t>
  </si>
  <si>
    <t>Claude(46)</t>
  </si>
  <si>
    <t>Gemini (14)</t>
  </si>
  <si>
    <t>GPT(118)</t>
  </si>
  <si>
    <t>Gemini (1)</t>
  </si>
  <si>
    <t>LLaMA(49)</t>
  </si>
  <si>
    <t>GPT(22)</t>
  </si>
  <si>
    <t>BART(24)</t>
  </si>
  <si>
    <t>GPT(132)</t>
  </si>
  <si>
    <t>Claude(30)</t>
  </si>
  <si>
    <t>Grok (10)</t>
  </si>
  <si>
    <t>GPT (139)</t>
  </si>
  <si>
    <t>Gemini (48)</t>
  </si>
  <si>
    <t>LLaMA(36)</t>
  </si>
  <si>
    <t>GPT(66)</t>
  </si>
  <si>
    <t>1st</t>
  </si>
  <si>
    <t>2nd</t>
  </si>
  <si>
    <t>3rd</t>
  </si>
  <si>
    <t>Overall Detected Rank</t>
  </si>
  <si>
    <r>
      <t xml:space="preserve">Detected Model vs Age: </t>
    </r>
    <r>
      <rPr>
        <sz val="11"/>
        <color theme="1"/>
        <rFont val="Calibri"/>
        <family val="2"/>
        <scheme val="minor"/>
      </rPr>
      <t>Across our 10 tasks and 10 generative models (1000 data points), GPT was the model that most frequently detected the outputs. Notably, GPT is also the first available model in this group (introduced in 2018), making it the oldest among them.</t>
    </r>
    <r>
      <rPr>
        <b/>
        <sz val="11"/>
        <color theme="1"/>
        <rFont val="Calibri"/>
        <family val="2"/>
        <scheme val="minor"/>
      </rPr>
      <t xml:space="preserve"> </t>
    </r>
    <r>
      <rPr>
        <b/>
        <sz val="11"/>
        <color rgb="FFFF0000"/>
        <rFont val="Calibri"/>
        <family val="2"/>
        <scheme val="minor"/>
      </rPr>
      <t>The oldest model (GPT) was detected the most across all tasks.</t>
    </r>
  </si>
  <si>
    <t>Sl no</t>
  </si>
  <si>
    <t>Structure and clarity</t>
  </si>
  <si>
    <t>Length and scope</t>
  </si>
  <si>
    <t>Terminology and tone</t>
  </si>
  <si>
    <t>No typos or informal phrases</t>
  </si>
  <si>
    <t>Perfect Structure and Formatting</t>
  </si>
  <si>
    <t>Adherence to the Prompt</t>
  </si>
  <si>
    <t>Standard and Generic Content</t>
  </si>
  <si>
    <t>Impersonal and Optimized Tone</t>
  </si>
  <si>
    <t>Structure and Formatting</t>
  </si>
  <si>
    <t>Writing Style</t>
  </si>
  <si>
    <t>Content Characteristics</t>
  </si>
  <si>
    <t>Language Patterns</t>
  </si>
  <si>
    <t>Structure and Clarity</t>
  </si>
  <si>
    <t>Consistency and Detail</t>
  </si>
  <si>
    <t>Language and Style</t>
  </si>
  <si>
    <t>Prompted Structure</t>
  </si>
  <si>
    <t>Pedagogical Clarity</t>
  </si>
  <si>
    <t>List Formatting &amp; Bullets</t>
  </si>
  <si>
    <t>Pseudocode Inclusion</t>
  </si>
  <si>
    <t>Exemplar Walkthrough</t>
  </si>
  <si>
    <t>"Key Points" and "Why Learn It?" Segments</t>
  </si>
  <si>
    <t>Technical Accuracy</t>
  </si>
  <si>
    <t>Tone and Style</t>
  </si>
  <si>
    <t>Repetition of Key Concepts</t>
  </si>
  <si>
    <t>Structure and organization</t>
  </si>
  <si>
    <t>Language and tone</t>
  </si>
  <si>
    <t>Content and explanations</t>
  </si>
  <si>
    <r>
      <t>Use of transitional phrases</t>
    </r>
    <r>
      <rPr>
        <sz val="12"/>
        <color rgb="FFEE0000"/>
        <rFont val="Calibri"/>
        <family val="2"/>
        <scheme val="minor"/>
      </rPr>
      <t xml:space="preserve">: </t>
    </r>
  </si>
  <si>
    <t>Structured and formulaic presentation</t>
  </si>
  <si>
    <t>Neutral tone and lack of personal flair</t>
  </si>
  <si>
    <t>Generic pseudocode</t>
  </si>
  <si>
    <t>Content Accuracy</t>
  </si>
  <si>
    <t>Stylistic Indicators</t>
  </si>
  <si>
    <t>Prompt Adherence</t>
  </si>
  <si>
    <t>AI-Specific Clues</t>
  </si>
  <si>
    <t>Structure and Style</t>
  </si>
  <si>
    <t>Content Predictability</t>
  </si>
  <si>
    <t>Lack of Personal Style or Errors</t>
  </si>
  <si>
    <t>Clarity and Structure</t>
  </si>
  <si>
    <t>Natural Language Use</t>
  </si>
  <si>
    <t>Contextual Depth</t>
  </si>
  <si>
    <t>Source Listing</t>
  </si>
  <si>
    <t>Citing generic sources like wikipedia.com, youtube.com etc</t>
  </si>
  <si>
    <t>Word Count Compliance</t>
  </si>
  <si>
    <t>Tone</t>
  </si>
  <si>
    <t>Unnatural Citations</t>
  </si>
  <si>
    <t>Raw Source List</t>
  </si>
  <si>
    <t>Formulaic Language</t>
  </si>
  <si>
    <t>Fake citation system</t>
  </si>
  <si>
    <t>References and Citations</t>
  </si>
  <si>
    <t>Consistency and Detai</t>
  </si>
  <si>
    <t>Structured Pedagogical Style</t>
  </si>
  <si>
    <t>Consistent Formatting</t>
  </si>
  <si>
    <t>Technical Completeness</t>
  </si>
  <si>
    <t>Absence of Personalization/Stylistic Irregularities</t>
  </si>
  <si>
    <t>Apparent Use of Multiple Sources</t>
  </si>
  <si>
    <t>Sources and Citations</t>
  </si>
  <si>
    <t>Use of transitional phrases</t>
  </si>
  <si>
    <t>Citation style</t>
  </si>
  <si>
    <t>Structure and Organization</t>
  </si>
  <si>
    <t>Prompt Adherence and Context</t>
  </si>
  <si>
    <t>Human Indicators</t>
  </si>
  <si>
    <t xml:space="preserve">Human Indicators  (e.g., “in my class, we…”), </t>
  </si>
  <si>
    <t>Content Predictability and Style</t>
  </si>
  <si>
    <t xml:space="preserve">Citation Behavior </t>
  </si>
  <si>
    <t>Lack of Errors or Nuance</t>
  </si>
  <si>
    <t>Title Format</t>
  </si>
  <si>
    <t>Tone &amp; Style</t>
  </si>
  <si>
    <t>Formatting</t>
  </si>
  <si>
    <t>No Errors or Typos</t>
  </si>
  <si>
    <t>Analogy Use</t>
  </si>
  <si>
    <t>Length Balance</t>
  </si>
  <si>
    <t>Final Takeaway</t>
  </si>
  <si>
    <t>Flawless Structure</t>
  </si>
  <si>
    <t>Optimized and Impersonal Language</t>
  </si>
  <si>
    <t>Comprehensive and Standard Content</t>
  </si>
  <si>
    <t>Educational Tone</t>
  </si>
  <si>
    <t>Structured, Pedagogical Format</t>
  </si>
  <si>
    <t>Step-by-Step Explanations</t>
  </si>
  <si>
    <t>Consistent, Neutral Tone and Style</t>
  </si>
  <si>
    <t>Grammatical Precision</t>
  </si>
  <si>
    <t>Lack of Personal Voice</t>
  </si>
  <si>
    <t>Common LLM Patterns</t>
  </si>
  <si>
    <t>Direct Example Walkthrough</t>
  </si>
  <si>
    <t>Explicit “Why Learn It” Motivation</t>
  </si>
  <si>
    <t>Final “Key Insight” or Distillation</t>
  </si>
  <si>
    <t>Absence of Citation/Source Attribution</t>
  </si>
  <si>
    <t>Example and Performance Discussion</t>
  </si>
  <si>
    <t>Use of analogies and metaphors</t>
  </si>
  <si>
    <t>Formatting irregularity</t>
  </si>
  <si>
    <t>Formulaic and generic style</t>
  </si>
  <si>
    <t>Standard analogies and structure</t>
  </si>
  <si>
    <t>Predictable and Formulaic Structure</t>
  </si>
  <si>
    <t>Use of Common Analogies and Phrases</t>
  </si>
  <si>
    <t>Technical Depth and Tone:</t>
  </si>
  <si>
    <t>Numbered Steps and Example</t>
  </si>
  <si>
    <t>Lack of Errors or Personal Style</t>
  </si>
  <si>
    <t>Clarity &amp; Flow</t>
  </si>
  <si>
    <t>Structure</t>
  </si>
  <si>
    <t>Terminology</t>
  </si>
  <si>
    <t>Neutral Tone</t>
  </si>
  <si>
    <t>Redundancy Pattern</t>
  </si>
  <si>
    <t>Mathematical Typo</t>
  </si>
  <si>
    <t>Educational Framing</t>
  </si>
  <si>
    <t>Clarity and textbook-style explanation</t>
  </si>
  <si>
    <t>Comprehensive yet generic overview</t>
  </si>
  <si>
    <t>Standardized terminology and phrasing</t>
  </si>
  <si>
    <t>Lack of a unique voice</t>
  </si>
  <si>
    <t>Formulaic Structure</t>
  </si>
  <si>
    <t>Technical Presentation</t>
  </si>
  <si>
    <r>
      <t xml:space="preserve"> Educational Tone</t>
    </r>
    <r>
      <rPr>
        <sz val="12"/>
        <color rgb="FF4472C4"/>
        <rFont val="Calibri"/>
        <family val="2"/>
        <scheme val="minor"/>
      </rPr>
      <t>:</t>
    </r>
  </si>
  <si>
    <t>Pedagogical and Methodical Structure</t>
  </si>
  <si>
    <t>Neutral and Formal Tone</t>
  </si>
  <si>
    <t>Standardized Explanation</t>
  </si>
  <si>
    <t>Completeness and Coverage</t>
  </si>
  <si>
    <t>Redundancy and Repetition</t>
  </si>
  <si>
    <t>Performance Discussion</t>
  </si>
  <si>
    <t>Use of technical terms</t>
  </si>
  <si>
    <t>Generic and formulaic style</t>
  </si>
  <si>
    <t>Predictable structure</t>
  </si>
  <si>
    <t>Lack of unique flair</t>
  </si>
  <si>
    <t>Highly Structured and Consistent Style</t>
  </si>
  <si>
    <t>Repetition and Predictable Patterns</t>
  </si>
  <si>
    <t>Lack of Idiosyncratic Human Touch</t>
  </si>
  <si>
    <t>Bullet Points &amp; Numbering</t>
  </si>
  <si>
    <t>Technical Correctness</t>
  </si>
  <si>
    <t>Error/Glitch</t>
  </si>
  <si>
    <t>Formatting Consistency</t>
  </si>
  <si>
    <t>Structured and Didactic Tone</t>
  </si>
  <si>
    <t>Use of Formatting and Lists</t>
  </si>
  <si>
    <t>Impersonal and Neutral Language</t>
  </si>
  <si>
    <t>Incomplete Example</t>
  </si>
  <si>
    <t>Critical Evidence - Text Corruption</t>
  </si>
  <si>
    <t>Structural and Stylistic Indicators</t>
  </si>
  <si>
    <t>Systematic, Stepwise Breakdown</t>
  </si>
  <si>
    <t>Neutral, Impersonal Tone</t>
  </si>
  <si>
    <t>Complete Coverage</t>
  </si>
  <si>
    <t>Algorithmic and Technical Details</t>
  </si>
  <si>
    <t>Content-Specific Clues</t>
  </si>
  <si>
    <t>Example Formatting Oddities</t>
  </si>
  <si>
    <t>Redundancy for Clarity</t>
  </si>
  <si>
    <t>Incomplete example</t>
  </si>
  <si>
    <t>Standard structure and terminology</t>
  </si>
  <si>
    <t>Repetition of AI-Generated Phrases</t>
  </si>
  <si>
    <t>Minor Inconsistencies and Incomplete Sentences</t>
  </si>
  <si>
    <t>Lack of Unique Human Style</t>
  </si>
  <si>
    <t>Structure &amp; Formatting</t>
  </si>
  <si>
    <t>Completeness</t>
  </si>
  <si>
    <t>Repetitiveness</t>
  </si>
  <si>
    <t>Consistency &amp; Accuracy</t>
  </si>
  <si>
    <t>Grammar &amp; Style</t>
  </si>
  <si>
    <t>Example Quality</t>
  </si>
  <si>
    <t>Human-Like Traits</t>
  </si>
  <si>
    <t>Generic and Formulaic Language</t>
  </si>
  <si>
    <t>Unusual and Inconsistent Numbering</t>
  </si>
  <si>
    <t>Perfectly Structured and Executed Example</t>
  </si>
  <si>
    <t>Extremely Systematic Structure</t>
  </si>
  <si>
    <t>Mechanical Writing Style</t>
  </si>
  <si>
    <t>Overly Detailed Example</t>
  </si>
  <si>
    <t>Short Answer</t>
  </si>
  <si>
    <t>Structure and Pedagogy</t>
  </si>
  <si>
    <t>Clear, ordered breakdown</t>
  </si>
  <si>
    <t>Step-by-step illustration</t>
  </si>
  <si>
    <t>Summarized technical points</t>
  </si>
  <si>
    <t>Impersonal, formal, pedagogical</t>
  </si>
  <si>
    <t>Error-free and neutral</t>
  </si>
  <si>
    <t>Content Recurrence</t>
  </si>
  <si>
    <t>Formatting and Content Patterns</t>
  </si>
  <si>
    <t>Numbered/sectioned instruction steps</t>
  </si>
  <si>
    <r>
      <t>No creative or contextual deviation:</t>
    </r>
    <r>
      <rPr>
        <sz val="12"/>
        <color rgb="FFEE0000"/>
        <rFont val="Calibri"/>
        <family val="2"/>
        <scheme val="minor"/>
      </rPr>
      <t> </t>
    </r>
  </si>
  <si>
    <t>Structured and Formal Tone</t>
  </si>
  <si>
    <t>Step-by-Step Explanation</t>
  </si>
  <si>
    <r>
      <t>nested numbering issues</t>
    </r>
    <r>
      <rPr>
        <sz val="12"/>
        <color rgb="FF4472C4"/>
        <rFont val="Calibri"/>
        <family val="2"/>
        <scheme val="minor"/>
      </rPr>
      <t xml:space="preserve"> </t>
    </r>
  </si>
  <si>
    <t>Formatting irregularities</t>
  </si>
  <si>
    <t>Detailed but standard example</t>
  </si>
  <si>
    <t>Lack of unique insights</t>
  </si>
  <si>
    <t>Percentage of AI Generation</t>
  </si>
  <si>
    <t>Structure and Tone</t>
  </si>
  <si>
    <t>Example Walkthrough</t>
  </si>
  <si>
    <t>Minor Inconsistencies</t>
  </si>
  <si>
    <t>Linguistic Patterns</t>
  </si>
  <si>
    <t>Lack of Idiosyncrasies</t>
  </si>
  <si>
    <t>Bullet/Number Format</t>
  </si>
  <si>
    <t>Python Code Block</t>
  </si>
  <si>
    <t>No Personalization</t>
  </si>
  <si>
    <t>No Grammar Errors</t>
  </si>
  <si>
    <t>Repetition</t>
  </si>
  <si>
    <t>Human Signs</t>
  </si>
  <si>
    <t>Formulaic and Standard Structure</t>
  </si>
  <si>
    <t>Inclusion of a Correct Code Snippet</t>
  </si>
  <si>
    <t>Generic Language</t>
  </si>
  <si>
    <t>Rigid Systematic Structure</t>
  </si>
  <si>
    <t>Code Section</t>
  </si>
  <si>
    <t>Structured, Pedagogical Organization</t>
  </si>
  <si>
    <r>
      <t>Section headings</t>
    </r>
    <r>
      <rPr>
        <sz val="12"/>
        <color rgb="FFEE0000"/>
        <rFont val="Calibri"/>
        <family val="2"/>
        <scheme val="minor"/>
      </rPr>
      <t> </t>
    </r>
  </si>
  <si>
    <r>
      <t>Stepwise breakdown</t>
    </r>
    <r>
      <rPr>
        <sz val="12"/>
        <color rgb="FFEE0000"/>
        <rFont val="Calibri"/>
        <family val="2"/>
        <scheme val="minor"/>
      </rPr>
      <t> </t>
    </r>
  </si>
  <si>
    <t>Example and Code Integration</t>
  </si>
  <si>
    <t>Tone and Language</t>
  </si>
  <si>
    <t>Impersonal, neutral instructional tone</t>
  </si>
  <si>
    <t>Error-free grammar and completeness</t>
  </si>
  <si>
    <t>Standardized Explanatory Patterns</t>
  </si>
  <si>
    <r>
      <t>Algorithm context</t>
    </r>
    <r>
      <rPr>
        <sz val="12"/>
        <color rgb="FFEE0000"/>
        <rFont val="Calibri"/>
        <family val="2"/>
        <scheme val="minor"/>
      </rPr>
      <t> </t>
    </r>
  </si>
  <si>
    <t>Code Example</t>
  </si>
  <si>
    <t>Technical Explanation</t>
  </si>
  <si>
    <t>Sentence Flow</t>
  </si>
  <si>
    <t>Code &amp; Math Usage</t>
  </si>
  <si>
    <t>Personal Voice or Style</t>
  </si>
  <si>
    <t>Depth &amp; Coverage</t>
  </si>
  <si>
    <t>Sophisticated Flow</t>
  </si>
  <si>
    <t>Instructional Analogy</t>
  </si>
  <si>
    <t>Step-by-step Illustration</t>
  </si>
  <si>
    <t>Algorithmic Accuracy and Detail</t>
  </si>
  <si>
    <t>Neutral, Impersonal, and Didactic</t>
  </si>
  <si>
    <t>Flawless Grammar and Fluidity</t>
  </si>
  <si>
    <t>Canonical Example and Phrasing</t>
  </si>
  <si>
    <t>Anticipatory Explanations</t>
  </si>
  <si>
    <t>Analogy</t>
  </si>
  <si>
    <t>Tone and Structure:</t>
  </si>
  <si>
    <t>Use of Analogies</t>
  </si>
  <si>
    <t>Algorithm Walkthrough</t>
  </si>
  <si>
    <t>Technical Accuracy:</t>
  </si>
  <si>
    <t>Minor Clues of AI Origin</t>
  </si>
  <si>
    <t>Highly Structured, Modular Format</t>
  </si>
  <si>
    <r>
      <t>Generic but Effective Analogy:</t>
    </r>
    <r>
      <rPr>
        <sz val="12"/>
        <color rgb="FF4472C4"/>
        <rFont val="Calibri"/>
        <family val="2"/>
        <scheme val="minor"/>
      </rPr>
      <t> </t>
    </r>
  </si>
  <si>
    <t>Mixture of Technical Precision and Simplified Language</t>
  </si>
  <si>
    <t>Purpose-Driven Conclusion</t>
  </si>
  <si>
    <t>Takeaway</t>
  </si>
  <si>
    <t>AI-Typical Writing Patterns</t>
  </si>
  <si>
    <t>Content Structure</t>
  </si>
  <si>
    <t>Example Section</t>
  </si>
  <si>
    <t>Structure, Tone &amp; Pedagogy</t>
  </si>
  <si>
    <t>Sectioned Approach</t>
  </si>
  <si>
    <t>Step-by-Step Example</t>
  </si>
  <si>
    <t>Takeaway and Motivation</t>
  </si>
  <si>
    <t>Technical Completeness &amp; Anticipatory Clarification</t>
  </si>
  <si>
    <t>Covers Optimizations</t>
  </si>
  <si>
    <t>Comparisons with Better Algorithms</t>
  </si>
  <si>
    <t>Didactic, Impersonal Tone</t>
  </si>
  <si>
    <t>Content Recurrence &amp; Minor Issues</t>
  </si>
  <si>
    <t>Canonical Example</t>
  </si>
  <si>
    <t>Slightly Mechanical Repetition</t>
  </si>
  <si>
    <t>Formatting and Flow</t>
  </si>
  <si>
    <t>Bullet points and summary-style paragraphs</t>
  </si>
  <si>
    <t>Lack of Human Touch</t>
  </si>
  <si>
    <t>Optimization Mention</t>
  </si>
  <si>
    <t>Tone and Structure</t>
  </si>
  <si>
    <t>Algorithm Explanation</t>
  </si>
  <si>
    <t>Technical Summary</t>
  </si>
  <si>
    <t>Code-like Thinking Without Code</t>
  </si>
  <si>
    <t>Minor AI-Generated Clues</t>
  </si>
  <si>
    <t>Example</t>
  </si>
  <si>
    <t>Grammar and Fluency</t>
  </si>
  <si>
    <t>Pedagogical Flow</t>
  </si>
  <si>
    <t>Reused Structure</t>
  </si>
  <si>
    <t>Introduction with Analogy</t>
  </si>
  <si>
    <t>Integrated Example</t>
  </si>
  <si>
    <t>Technical Details Section</t>
  </si>
  <si>
    <t>Concluding Summary</t>
  </si>
  <si>
    <t>Perfectly Balanced Tone</t>
  </si>
  <si>
    <t>Comprehensive but Generic Content</t>
  </si>
  <si>
    <t>Slightly Awkward Phrasing in Example</t>
  </si>
  <si>
    <t>Systematic Structure</t>
  </si>
  <si>
    <t>Structure and Pedagogical Approach</t>
  </si>
  <si>
    <t>Stepwise, Sectioned Explanation</t>
  </si>
  <si>
    <t>Classic Example</t>
  </si>
  <si>
    <t>Tone, Language, and Formatting</t>
  </si>
  <si>
    <t>Neutral, Didactic Tone</t>
  </si>
  <si>
    <t>Perfect Grammar and Fluency</t>
  </si>
  <si>
    <t>Response Patterns and Details</t>
  </si>
  <si>
    <t>Anticipatory Educational Content</t>
  </si>
  <si>
    <t>Optimization Mentioned</t>
  </si>
  <si>
    <r>
      <t>Use of technical terms</t>
    </r>
    <r>
      <rPr>
        <sz val="12"/>
        <color rgb="FFEE0000"/>
        <rFont val="Calibri"/>
        <family val="2"/>
        <scheme val="minor"/>
      </rPr>
      <t>:</t>
    </r>
  </si>
  <si>
    <t>Key Points" and "Why Learn It?" Segments</t>
  </si>
  <si>
    <t>Strong identifier</t>
  </si>
  <si>
    <t>Total Count</t>
  </si>
  <si>
    <t>Structure, Clarity and Organization</t>
  </si>
  <si>
    <t>Language, Style and Tone</t>
  </si>
  <si>
    <t>Content Accuracy and Explanation</t>
  </si>
  <si>
    <t>No creative or contextual deviation: </t>
  </si>
  <si>
    <t>Section headings </t>
  </si>
  <si>
    <t>Algorithm context </t>
  </si>
  <si>
    <t>Use of technical terms:</t>
  </si>
  <si>
    <t xml:space="preserve">Use of transitional phrases: </t>
  </si>
  <si>
    <t>Stepwise breakdown </t>
  </si>
  <si>
    <t>Educational Tone:</t>
  </si>
  <si>
    <t xml:space="preserve">nested numbering issues </t>
  </si>
  <si>
    <t>Generic but Effective Analogy: </t>
  </si>
  <si>
    <t>10 Strong identifiers as per me</t>
  </si>
  <si>
    <t>Language style, tone and pattern</t>
  </si>
  <si>
    <t xml:space="preserve"> Accuracy (Technical and content)</t>
  </si>
  <si>
    <t>Why Learn It</t>
  </si>
  <si>
    <t>Key Insights</t>
  </si>
  <si>
    <t>Takeaways</t>
  </si>
  <si>
    <t>Identifier (Sorted A--&gt;Z)</t>
  </si>
  <si>
    <t>The data in this sheet was manually extracted from Task-1 (Bubble Sort – BS).
First Prompt:
We gave one prompt to ten generative models.
Each of the ten models produced a response, so we had 10 responses in total.
Second Prompt:
We then took each of those 10 responses from the first prompt and asked them again to the same ten models, with the instruction to detect whether the content was AI-generated or not, and to explain the reasons for their judgment.
This produced 10 × 10 = 100 responses in total.
Identifiers:
From these 100 detection responses, we extracted the identifiers (the reasons or clues) that the models used to label the text as AI-generated.
Those identifiers are what you see listed in this sheet.</t>
  </si>
  <si>
    <t>Identifiers</t>
  </si>
  <si>
    <t>“Stealth” = how hard a model’s own writing is to catch as AI in your tests.
How I compute it:
Stealth score = 100 − (midpoint of “Ability to be detected”).
Where the midpoint = (min + max)/2 from your “Ability to be detected” columns.
Interpretation
Higher stealth → harder to detect (lower average detectability).
Lower stealth → easier to detect (higher average detectability).</t>
  </si>
  <si>
    <t>Identifier (RAW from the document of BS)</t>
  </si>
  <si>
    <t>RANK</t>
  </si>
  <si>
    <t>Category (Identifier categorized)</t>
  </si>
  <si>
    <t>RQ 1-A</t>
  </si>
  <si>
    <t>Ability to detect (RQ 1-B)</t>
  </si>
  <si>
    <t>Ability to be detected (RQ1-B)</t>
  </si>
  <si>
    <t>Number of times used</t>
  </si>
  <si>
    <t>Number fo times it was guessed</t>
  </si>
  <si>
    <t>ChatGPT</t>
  </si>
  <si>
    <t>DeepSeek</t>
  </si>
  <si>
    <t>Qwen</t>
  </si>
  <si>
    <t>Falcon</t>
  </si>
  <si>
    <t>%</t>
  </si>
  <si>
    <t xml:space="preserve">Average </t>
  </si>
  <si>
    <t>Sorted</t>
  </si>
  <si>
    <t>This is to answer the question "How confident the models are about their own generated texts?"</t>
  </si>
  <si>
    <t>Std deviation</t>
  </si>
  <si>
    <t>Three top generated models suggested by detectors</t>
  </si>
  <si>
    <t>Total how many times these models were detected by 10 models in 1000 data</t>
  </si>
  <si>
    <t>Llama-4-Scout-CS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</si>
</sst>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8" x14ac:knownFonts="1">
    <font>
      <sz val="11"/>
      <color theme="1"/>
      <name val="Calibri"/>
      <family val="2"/>
      <scheme val="minor"/>
    </font>
    <font>
      <sz val="12"/>
      <color theme="1"/>
      <name val="Calibri"/>
      <family val="2"/>
      <scheme val="minor"/>
    </font>
    <font>
      <b/>
      <sz val="14"/>
      <color theme="1"/>
      <name val="Calibri"/>
      <family val="2"/>
      <scheme val="minor"/>
    </font>
    <font>
      <sz val="11"/>
      <name val="Calibri"/>
      <family val="2"/>
      <scheme val="minor"/>
    </font>
    <font>
      <sz val="11"/>
      <color rgb="FF4A5565"/>
      <name val="Calibri"/>
      <family val="2"/>
      <scheme val="minor"/>
    </font>
    <font>
      <sz val="14"/>
      <color theme="1"/>
      <name val="Calibri"/>
      <family val="2"/>
      <scheme val="minor"/>
    </font>
    <font>
      <b/>
      <sz val="12"/>
      <color theme="1"/>
      <name val="Calibri"/>
      <family val="2"/>
      <scheme val="minor"/>
    </font>
    <font>
      <b/>
      <sz val="20"/>
      <color theme="1"/>
      <name val="Calibri"/>
      <family val="2"/>
      <scheme val="minor"/>
    </font>
    <font>
      <sz val="11"/>
      <color theme="1"/>
      <name val="Segoe UI"/>
      <family val="2"/>
    </font>
    <font>
      <sz val="10"/>
      <color rgb="FF4A5565"/>
      <name val="Source Sans Pro"/>
      <family val="2"/>
    </font>
    <font>
      <sz val="10"/>
      <color theme="1"/>
      <name val="Source Sans Pro"/>
      <family val="2"/>
    </font>
    <font>
      <sz val="8"/>
      <name val="Calibri"/>
      <family val="2"/>
      <scheme val="minor"/>
    </font>
    <font>
      <sz val="11"/>
      <color theme="1"/>
      <name val="Source Sans Pro"/>
      <family val="2"/>
    </font>
    <font>
      <b/>
      <sz val="11"/>
      <color theme="1"/>
      <name val="Calibri"/>
      <family val="2"/>
      <scheme val="minor"/>
    </font>
    <font>
      <sz val="11"/>
      <color theme="4" tint="-0.249977111117893"/>
      <name val="Calibri"/>
      <family val="2"/>
      <scheme val="minor"/>
    </font>
    <font>
      <b/>
      <sz val="11"/>
      <color theme="4" tint="-0.249977111117893"/>
      <name val="Calibri"/>
      <family val="2"/>
      <scheme val="minor"/>
    </font>
    <font>
      <i/>
      <sz val="10"/>
      <color theme="1"/>
      <name val="Calibri"/>
      <family val="2"/>
      <scheme val="minor"/>
    </font>
    <font>
      <b/>
      <sz val="10"/>
      <color theme="1"/>
      <name val="Calibri"/>
      <family val="2"/>
      <scheme val="minor"/>
    </font>
    <font>
      <u/>
      <sz val="11"/>
      <color theme="10"/>
      <name val="Calibri"/>
      <family val="2"/>
      <scheme val="minor"/>
    </font>
    <font>
      <b/>
      <sz val="11"/>
      <color rgb="FF0070C0"/>
      <name val="Calibri"/>
      <family val="2"/>
      <scheme val="minor"/>
    </font>
    <font>
      <b/>
      <sz val="11"/>
      <name val="Calibri"/>
      <family val="2"/>
      <scheme val="minor"/>
    </font>
    <font>
      <b/>
      <sz val="12"/>
      <color rgb="FFC00000"/>
      <name val="Calibri"/>
      <family val="2"/>
      <scheme val="minor"/>
    </font>
    <font>
      <b/>
      <sz val="11"/>
      <color rgb="FFC00000"/>
      <name val="Calibri"/>
      <family val="2"/>
      <scheme val="minor"/>
    </font>
    <font>
      <b/>
      <sz val="11"/>
      <color rgb="FFFF0000"/>
      <name val="Calibri"/>
      <family val="2"/>
      <scheme val="minor"/>
    </font>
    <font>
      <b/>
      <sz val="12"/>
      <color rgb="FFEE0000"/>
      <name val="Calibri"/>
      <family val="2"/>
      <scheme val="minor"/>
    </font>
    <font>
      <b/>
      <sz val="12"/>
      <color rgb="FF4472C4"/>
      <name val="Calibri"/>
      <family val="2"/>
      <scheme val="minor"/>
    </font>
    <font>
      <sz val="12"/>
      <color rgb="FFEE0000"/>
      <name val="Calibri"/>
      <family val="2"/>
      <scheme val="minor"/>
    </font>
    <font>
      <sz val="12"/>
      <color rgb="FF4472C4"/>
      <name val="Calibri"/>
      <family val="2"/>
      <scheme val="minor"/>
    </font>
    <font>
      <sz val="11"/>
      <color rgb="FFFF0000"/>
      <name val="Calibri"/>
      <family val="2"/>
      <scheme val="minor"/>
    </font>
    <font>
      <sz val="11"/>
      <color rgb="FFC00000"/>
      <name val="Calibri"/>
      <family val="2"/>
      <scheme val="minor"/>
    </font>
    <font>
      <sz val="12"/>
      <color theme="5" tint="-0.249977111117893"/>
      <name val="Calibri"/>
      <family val="2"/>
      <scheme val="minor"/>
    </font>
    <font>
      <sz val="11"/>
      <color theme="5" tint="-0.249977111117893"/>
      <name val="Calibri"/>
      <family val="2"/>
      <scheme val="minor"/>
    </font>
    <font>
      <b/>
      <sz val="14"/>
      <name val="Calibri"/>
      <family val="2"/>
      <scheme val="minor"/>
    </font>
    <font>
      <sz val="11"/>
      <color theme="1"/>
      <name val="Calibri"/>
      <family val="2"/>
      <scheme val="minor"/>
    </font>
    <font>
      <b/>
      <sz val="24"/>
      <color theme="1"/>
      <name val="Calibri"/>
      <family val="2"/>
      <scheme val="minor"/>
    </font>
    <font>
      <b/>
      <sz val="18"/>
      <color theme="9" tint="-0.249977111117893"/>
      <name val="Calibri"/>
      <family val="2"/>
      <scheme val="minor"/>
    </font>
    <font>
      <sz val="18"/>
      <color theme="9" tint="-0.249977111117893"/>
      <name val="Calibri"/>
      <family val="2"/>
      <scheme val="minor"/>
    </font>
    <font>
      <b/>
      <sz val="20"/>
      <color rgb="FFC0000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2" tint="-0.249977111117893"/>
        <bgColor indexed="64"/>
      </patternFill>
    </fill>
    <fill>
      <patternFill patternType="solid">
        <fgColor theme="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3">
    <xf numFmtId="0" fontId="0" fillId="0" borderId="0"/>
    <xf numFmtId="0" fontId="18" fillId="0" borderId="0" applyNumberFormat="0" applyFill="0" applyBorder="0" applyAlignment="0" applyProtection="0"/>
    <xf numFmtId="9" fontId="33" fillId="0" borderId="0" applyFont="0" applyFill="0" applyBorder="0" applyAlignment="0" applyProtection="0"/>
  </cellStyleXfs>
  <cellXfs count="166">
    <xf numFmtId="0" fontId="0" fillId="0" borderId="0" xfId="0"/>
    <xf numFmtId="0" fontId="0" fillId="0" borderId="0" xfId="0" applyAlignment="1">
      <alignment horizontal="right"/>
    </xf>
    <xf numFmtId="16" fontId="0" fillId="0" borderId="0" xfId="0" applyNumberFormat="1" applyAlignment="1">
      <alignment horizontal="right"/>
    </xf>
    <xf numFmtId="0" fontId="3" fillId="0" borderId="1" xfId="0" applyFont="1" applyBorder="1" applyAlignment="1">
      <alignment horizontal="center" vertical="center" wrapText="1"/>
    </xf>
    <xf numFmtId="0" fontId="5" fillId="0" borderId="0" xfId="0" applyFont="1"/>
    <xf numFmtId="0" fontId="6" fillId="0" borderId="1" xfId="0" applyFont="1" applyBorder="1" applyAlignment="1">
      <alignment horizontal="center" vertical="center" wrapText="1"/>
    </xf>
    <xf numFmtId="0" fontId="1"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vertical="center"/>
    </xf>
    <xf numFmtId="0" fontId="0" fillId="0" borderId="0" xfId="0"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4" fillId="0" borderId="1" xfId="0" applyFont="1" applyBorder="1" applyAlignment="1">
      <alignment vertical="center" wrapText="1"/>
    </xf>
    <xf numFmtId="0" fontId="2" fillId="2" borderId="1" xfId="0" applyFont="1" applyFill="1" applyBorder="1" applyAlignment="1">
      <alignment vertical="center" wrapText="1"/>
    </xf>
    <xf numFmtId="0" fontId="5" fillId="2" borderId="1" xfId="0" applyFont="1" applyFill="1" applyBorder="1" applyAlignment="1">
      <alignment vertical="center" wrapText="1"/>
    </xf>
    <xf numFmtId="0" fontId="5" fillId="2" borderId="1" xfId="0" applyFont="1" applyFill="1" applyBorder="1" applyAlignment="1">
      <alignment vertical="center"/>
    </xf>
    <xf numFmtId="0" fontId="2" fillId="0" borderId="1" xfId="0" applyFont="1" applyBorder="1" applyAlignment="1">
      <alignment horizontal="center"/>
    </xf>
    <xf numFmtId="0" fontId="2" fillId="3" borderId="1" xfId="0" applyFont="1" applyFill="1" applyBorder="1" applyAlignment="1">
      <alignment horizontal="center"/>
    </xf>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64" fontId="0" fillId="0" borderId="0" xfId="0" applyNumberFormat="1"/>
    <xf numFmtId="0" fontId="8" fillId="0" borderId="0" xfId="0" applyFont="1"/>
    <xf numFmtId="0" fontId="0" fillId="0" borderId="1" xfId="0" applyBorder="1"/>
    <xf numFmtId="0" fontId="10" fillId="0" borderId="1" xfId="0" applyFont="1" applyBorder="1"/>
    <xf numFmtId="0" fontId="6" fillId="0" borderId="1" xfId="0" applyFont="1" applyBorder="1" applyAlignment="1">
      <alignment horizontal="center" wrapText="1"/>
    </xf>
    <xf numFmtId="0" fontId="3" fillId="0" borderId="1" xfId="0" applyFont="1" applyBorder="1" applyAlignment="1">
      <alignment horizontal="center"/>
    </xf>
    <xf numFmtId="0" fontId="3" fillId="0" borderId="1" xfId="0" applyFont="1" applyBorder="1" applyAlignment="1">
      <alignment horizontal="center" wrapText="1"/>
    </xf>
    <xf numFmtId="0" fontId="0" fillId="0" borderId="1" xfId="0" applyBorder="1" applyAlignment="1">
      <alignment horizontal="center"/>
    </xf>
    <xf numFmtId="0" fontId="0" fillId="0" borderId="0" xfId="0" applyAlignment="1">
      <alignment horizontal="center"/>
    </xf>
    <xf numFmtId="164" fontId="5" fillId="0" borderId="0" xfId="0" applyNumberFormat="1" applyFont="1"/>
    <xf numFmtId="164" fontId="2" fillId="0" borderId="1" xfId="0" applyNumberFormat="1" applyFont="1" applyBorder="1" applyAlignment="1">
      <alignment horizontal="center"/>
    </xf>
    <xf numFmtId="0" fontId="8" fillId="0" borderId="1" xfId="0" applyFont="1" applyBorder="1"/>
    <xf numFmtId="0" fontId="12" fillId="0" borderId="0" xfId="0" applyFont="1"/>
    <xf numFmtId="2" fontId="2" fillId="3" borderId="1" xfId="0" applyNumberFormat="1" applyFont="1" applyFill="1" applyBorder="1" applyAlignment="1">
      <alignment horizontal="center"/>
    </xf>
    <xf numFmtId="0" fontId="0" fillId="0" borderId="1" xfId="0" applyBorder="1" applyAlignment="1">
      <alignment horizontal="center" vertical="center" wrapText="1"/>
    </xf>
    <xf numFmtId="0" fontId="0" fillId="0" borderId="0" xfId="0" applyAlignment="1">
      <alignment vertical="center" wrapText="1"/>
    </xf>
    <xf numFmtId="0" fontId="12" fillId="0" borderId="1" xfId="0" applyFont="1" applyBorder="1"/>
    <xf numFmtId="1" fontId="0" fillId="0" borderId="0" xfId="0" applyNumberFormat="1"/>
    <xf numFmtId="164" fontId="2" fillId="3" borderId="1" xfId="0" applyNumberFormat="1" applyFont="1" applyFill="1" applyBorder="1" applyAlignment="1">
      <alignment horizontal="center"/>
    </xf>
    <xf numFmtId="0" fontId="5" fillId="4" borderId="1" xfId="0" applyFont="1" applyFill="1" applyBorder="1" applyAlignment="1">
      <alignment vertical="center" wrapText="1"/>
    </xf>
    <xf numFmtId="0" fontId="3" fillId="4" borderId="1" xfId="0" applyFont="1" applyFill="1" applyBorder="1" applyAlignment="1">
      <alignment horizontal="center" vertical="center"/>
    </xf>
    <xf numFmtId="0" fontId="0" fillId="4" borderId="1" xfId="0" applyFill="1" applyBorder="1"/>
    <xf numFmtId="0" fontId="3" fillId="4" borderId="1" xfId="0" applyFont="1" applyFill="1" applyBorder="1" applyAlignment="1">
      <alignment horizontal="center" vertical="center" wrapText="1"/>
    </xf>
    <xf numFmtId="0" fontId="3" fillId="4" borderId="1" xfId="0" applyFont="1" applyFill="1" applyBorder="1" applyAlignment="1">
      <alignment horizontal="center"/>
    </xf>
    <xf numFmtId="0" fontId="3" fillId="4" borderId="1" xfId="0" applyFont="1" applyFill="1" applyBorder="1" applyAlignment="1">
      <alignment vertical="center"/>
    </xf>
    <xf numFmtId="0" fontId="3" fillId="4" borderId="1" xfId="0" applyFont="1" applyFill="1" applyBorder="1" applyAlignment="1">
      <alignment vertical="center" wrapText="1"/>
    </xf>
    <xf numFmtId="0" fontId="8" fillId="4" borderId="1" xfId="0" applyFont="1" applyFill="1" applyBorder="1"/>
    <xf numFmtId="0" fontId="10" fillId="4" borderId="1" xfId="0" applyFont="1" applyFill="1" applyBorder="1"/>
    <xf numFmtId="0" fontId="0" fillId="4" borderId="0" xfId="0" applyFill="1" applyAlignment="1">
      <alignment vertical="center"/>
    </xf>
    <xf numFmtId="0" fontId="2" fillId="4" borderId="1" xfId="0" applyFont="1" applyFill="1" applyBorder="1" applyAlignment="1">
      <alignment horizontal="center"/>
    </xf>
    <xf numFmtId="164" fontId="2" fillId="4" borderId="1" xfId="0" applyNumberFormat="1" applyFont="1" applyFill="1" applyBorder="1" applyAlignment="1">
      <alignment horizontal="center" vertical="center"/>
    </xf>
    <xf numFmtId="2" fontId="0" fillId="0" borderId="0" xfId="0" applyNumberFormat="1"/>
    <xf numFmtId="0" fontId="13" fillId="0" borderId="0" xfId="0" applyFont="1"/>
    <xf numFmtId="2" fontId="13" fillId="0" borderId="0" xfId="0" applyNumberFormat="1" applyFont="1"/>
    <xf numFmtId="0" fontId="0" fillId="0" borderId="0" xfId="0">
      <extLst>
        <ext xmlns:xfpb="http://schemas.microsoft.com/office/spreadsheetml/2022/featurepropertybag" uri="{C7286773-470A-42A8-94C5-96B5CB345126}">
          <xfpb:xfComplement i="0"/>
        </ext>
      </extLst>
    </xf>
    <xf numFmtId="2" fontId="0" fillId="0" borderId="0" xfId="0" applyNumberFormat="1">
      <extLst>
        <ext xmlns:xfpb="http://schemas.microsoft.com/office/spreadsheetml/2022/featurepropertybag" uri="{C7286773-470A-42A8-94C5-96B5CB345126}">
          <xfpb:xfComplement i="0"/>
        </ext>
      </extLst>
    </xf>
    <xf numFmtId="2" fontId="0" fillId="0" borderId="1" xfId="0" applyNumberFormat="1" applyBorder="1"/>
    <xf numFmtId="2" fontId="0" fillId="0" borderId="1" xfId="0" applyNumberFormat="1" applyBorder="1" applyAlignment="1">
      <alignment horizontal="center"/>
    </xf>
    <xf numFmtId="0" fontId="14" fillId="0" borderId="0" xfId="0" applyFont="1"/>
    <xf numFmtId="0" fontId="15" fillId="0" borderId="0" xfId="0" applyFont="1"/>
    <xf numFmtId="0" fontId="16" fillId="0" borderId="0" xfId="0" applyFont="1" applyAlignment="1">
      <alignment horizontal="center"/>
    </xf>
    <xf numFmtId="2" fontId="0" fillId="5" borderId="0" xfId="0" applyNumberFormat="1" applyFill="1" applyAlignment="1">
      <alignment horizontal="center"/>
    </xf>
    <xf numFmtId="0" fontId="2" fillId="3" borderId="1" xfId="0" applyFont="1" applyFill="1" applyBorder="1" applyAlignment="1">
      <alignment horizontal="center" vertical="center"/>
    </xf>
    <xf numFmtId="0" fontId="17" fillId="0" borderId="0" xfId="0" applyFont="1" applyAlignment="1">
      <alignment vertical="center"/>
    </xf>
    <xf numFmtId="0" fontId="13" fillId="0" borderId="0" xfId="0" applyFont="1" applyAlignment="1">
      <alignment horizontal="center" vertical="center" wrapText="1"/>
    </xf>
    <xf numFmtId="0" fontId="18" fillId="0" borderId="0" xfId="1" applyAlignment="1">
      <alignment vertical="center" wrapText="1"/>
    </xf>
    <xf numFmtId="0" fontId="0" fillId="7" borderId="1" xfId="0" applyFill="1" applyBorder="1"/>
    <xf numFmtId="0" fontId="3" fillId="3" borderId="1" xfId="0" applyFont="1" applyFill="1" applyBorder="1"/>
    <xf numFmtId="0" fontId="0" fillId="3" borderId="1" xfId="0" applyFill="1" applyBorder="1"/>
    <xf numFmtId="0" fontId="0" fillId="3" borderId="2" xfId="0" applyFill="1" applyBorder="1"/>
    <xf numFmtId="0" fontId="6" fillId="0" borderId="0" xfId="0" applyFont="1"/>
    <xf numFmtId="0" fontId="20" fillId="3" borderId="1" xfId="0" applyFont="1" applyFill="1" applyBorder="1"/>
    <xf numFmtId="0" fontId="13" fillId="6" borderId="1" xfId="0" applyFont="1" applyFill="1" applyBorder="1"/>
    <xf numFmtId="0" fontId="13" fillId="3" borderId="1" xfId="0" applyFont="1" applyFill="1" applyBorder="1"/>
    <xf numFmtId="0" fontId="13" fillId="7" borderId="1" xfId="0" applyFont="1" applyFill="1" applyBorder="1"/>
    <xf numFmtId="0" fontId="13" fillId="3" borderId="2" xfId="0" applyFont="1" applyFill="1" applyBorder="1"/>
    <xf numFmtId="0" fontId="13" fillId="6" borderId="2" xfId="0" applyFont="1" applyFill="1" applyBorder="1"/>
    <xf numFmtId="0" fontId="13" fillId="7" borderId="0" xfId="0" applyFont="1" applyFill="1"/>
    <xf numFmtId="0" fontId="13" fillId="0" borderId="1" xfId="0" applyFont="1" applyBorder="1"/>
    <xf numFmtId="0" fontId="0" fillId="0" borderId="3" xfId="0" applyBorder="1"/>
    <xf numFmtId="0" fontId="13" fillId="0" borderId="3" xfId="0" applyFont="1" applyBorder="1"/>
    <xf numFmtId="0" fontId="0" fillId="8" borderId="4" xfId="0" applyFill="1" applyBorder="1"/>
    <xf numFmtId="0" fontId="0" fillId="8" borderId="5" xfId="0" applyFill="1" applyBorder="1"/>
    <xf numFmtId="0" fontId="0" fillId="8" borderId="6" xfId="0" applyFill="1" applyBorder="1"/>
    <xf numFmtId="0" fontId="0" fillId="8" borderId="7" xfId="0" applyFill="1" applyBorder="1"/>
    <xf numFmtId="0" fontId="0" fillId="8" borderId="0" xfId="0" applyFill="1"/>
    <xf numFmtId="0" fontId="0" fillId="8" borderId="8" xfId="0" applyFill="1" applyBorder="1"/>
    <xf numFmtId="0" fontId="21" fillId="8" borderId="9" xfId="0" applyFont="1" applyFill="1" applyBorder="1"/>
    <xf numFmtId="0" fontId="21" fillId="8" borderId="10" xfId="0" applyFont="1" applyFill="1" applyBorder="1"/>
    <xf numFmtId="0" fontId="21" fillId="8" borderId="11" xfId="0" applyFont="1" applyFill="1" applyBorder="1"/>
    <xf numFmtId="0" fontId="22" fillId="0" borderId="0" xfId="0" applyFont="1"/>
    <xf numFmtId="0" fontId="0" fillId="0" borderId="7" xfId="0" applyBorder="1" applyAlignment="1">
      <alignment horizontal="right"/>
    </xf>
    <xf numFmtId="0" fontId="0" fillId="0" borderId="8" xfId="0" applyBorder="1"/>
    <xf numFmtId="0" fontId="0" fillId="0" borderId="9" xfId="0" applyBorder="1" applyAlignment="1">
      <alignment horizontal="righ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6" fillId="0" borderId="13" xfId="0" applyFont="1" applyBorder="1"/>
    <xf numFmtId="0" fontId="6" fillId="0" borderId="14" xfId="0" applyFont="1" applyBorder="1"/>
    <xf numFmtId="0" fontId="24" fillId="0" borderId="0" xfId="0" applyFont="1"/>
    <xf numFmtId="0" fontId="25" fillId="0" borderId="0" xfId="0" applyFont="1"/>
    <xf numFmtId="0" fontId="3" fillId="0" borderId="0" xfId="0" applyFont="1"/>
    <xf numFmtId="0" fontId="24" fillId="0" borderId="0" xfId="0" applyFont="1" applyAlignment="1">
      <alignment vertical="center" wrapText="1"/>
    </xf>
    <xf numFmtId="0" fontId="25" fillId="0" borderId="0" xfId="0" applyFont="1" applyAlignment="1">
      <alignment horizontal="left" vertical="center" indent="1"/>
    </xf>
    <xf numFmtId="0" fontId="26" fillId="0" borderId="0" xfId="0" applyFont="1"/>
    <xf numFmtId="0" fontId="24" fillId="0" borderId="0" xfId="0" applyFont="1" applyAlignment="1">
      <alignment vertical="center"/>
    </xf>
    <xf numFmtId="0" fontId="26" fillId="0" borderId="0" xfId="0" applyFont="1" applyAlignment="1">
      <alignment vertical="center"/>
    </xf>
    <xf numFmtId="0" fontId="27" fillId="0" borderId="0" xfId="0" applyFont="1"/>
    <xf numFmtId="0" fontId="0" fillId="9" borderId="0" xfId="0" applyFill="1"/>
    <xf numFmtId="0" fontId="0" fillId="7" borderId="0" xfId="0" applyFill="1"/>
    <xf numFmtId="0" fontId="0" fillId="7" borderId="8" xfId="0" applyFill="1" applyBorder="1"/>
    <xf numFmtId="0" fontId="0" fillId="7" borderId="11" xfId="0" applyFill="1" applyBorder="1"/>
    <xf numFmtId="0" fontId="22" fillId="0" borderId="7" xfId="0" applyFont="1" applyBorder="1"/>
    <xf numFmtId="0" fontId="22" fillId="0" borderId="9" xfId="0" applyFont="1" applyBorder="1"/>
    <xf numFmtId="0" fontId="30" fillId="0" borderId="0" xfId="0" applyFont="1" applyAlignment="1">
      <alignment vertical="center"/>
    </xf>
    <xf numFmtId="0" fontId="30" fillId="0" borderId="0" xfId="0" applyFont="1"/>
    <xf numFmtId="0" fontId="31" fillId="0" borderId="0" xfId="0" applyFont="1"/>
    <xf numFmtId="0" fontId="0" fillId="0" borderId="0" xfId="0" applyAlignment="1">
      <alignment vertical="top" wrapText="1"/>
    </xf>
    <xf numFmtId="0" fontId="22" fillId="0" borderId="4" xfId="0" applyFont="1" applyBorder="1"/>
    <xf numFmtId="0" fontId="22" fillId="7" borderId="6" xfId="0" applyFont="1" applyFill="1" applyBorder="1"/>
    <xf numFmtId="0" fontId="30" fillId="0" borderId="0" xfId="0" applyFont="1" applyAlignment="1">
      <alignment horizontal="left" vertical="center" indent="1"/>
    </xf>
    <xf numFmtId="0" fontId="30" fillId="0" borderId="0" xfId="0" applyFont="1" applyAlignment="1">
      <alignment vertical="center" wrapText="1"/>
    </xf>
    <xf numFmtId="0" fontId="13" fillId="9" borderId="0" xfId="0" applyFont="1" applyFill="1"/>
    <xf numFmtId="0" fontId="32" fillId="0" borderId="0" xfId="0" applyFont="1"/>
    <xf numFmtId="0" fontId="32" fillId="0" borderId="1" xfId="0" applyFont="1" applyBorder="1" applyAlignment="1">
      <alignment horizontal="center" vertical="top"/>
    </xf>
    <xf numFmtId="0" fontId="0" fillId="0" borderId="15" xfId="0" applyBorder="1" applyAlignment="1">
      <alignment horizontal="center"/>
    </xf>
    <xf numFmtId="0" fontId="13" fillId="4" borderId="0" xfId="0" applyFont="1" applyFill="1"/>
    <xf numFmtId="0" fontId="0" fillId="0" borderId="15" xfId="0" applyBorder="1"/>
    <xf numFmtId="0" fontId="0" fillId="4" borderId="1" xfId="0" applyFill="1" applyBorder="1" applyAlignment="1">
      <alignment vertical="center"/>
    </xf>
    <xf numFmtId="0" fontId="0" fillId="4" borderId="0" xfId="0" applyFill="1"/>
    <xf numFmtId="0" fontId="0" fillId="4" borderId="1" xfId="0" applyFill="1" applyBorder="1" applyAlignment="1">
      <alignment vertical="center" wrapText="1"/>
    </xf>
    <xf numFmtId="0" fontId="5" fillId="7" borderId="1" xfId="0" applyFont="1" applyFill="1" applyBorder="1" applyAlignment="1">
      <alignment vertical="center" wrapText="1"/>
    </xf>
    <xf numFmtId="0" fontId="5" fillId="7" borderId="1" xfId="0" applyFont="1" applyFill="1" applyBorder="1" applyAlignment="1">
      <alignment vertical="center"/>
    </xf>
    <xf numFmtId="10" fontId="0" fillId="7" borderId="1" xfId="0" applyNumberFormat="1" applyFill="1" applyBorder="1"/>
    <xf numFmtId="0" fontId="34" fillId="3" borderId="1" xfId="0" applyFont="1" applyFill="1" applyBorder="1"/>
    <xf numFmtId="9" fontId="0" fillId="7" borderId="1" xfId="2" applyFont="1" applyFill="1" applyBorder="1"/>
    <xf numFmtId="0" fontId="35" fillId="0" borderId="1" xfId="0" applyFont="1" applyBorder="1"/>
    <xf numFmtId="0" fontId="36" fillId="0" borderId="1" xfId="0" applyFont="1" applyBorder="1"/>
    <xf numFmtId="0" fontId="36" fillId="7" borderId="1" xfId="0" applyFont="1" applyFill="1" applyBorder="1" applyAlignment="1">
      <alignment vertical="center" wrapText="1"/>
    </xf>
    <xf numFmtId="0" fontId="36" fillId="7" borderId="1" xfId="0" applyFont="1" applyFill="1" applyBorder="1" applyAlignment="1">
      <alignment vertical="center"/>
    </xf>
    <xf numFmtId="165" fontId="35" fillId="0" borderId="1" xfId="0" applyNumberFormat="1" applyFont="1" applyBorder="1"/>
    <xf numFmtId="9" fontId="0" fillId="0" borderId="0" xfId="2" applyFont="1"/>
    <xf numFmtId="0" fontId="36" fillId="7" borderId="0" xfId="0" applyFont="1" applyFill="1" applyAlignment="1">
      <alignment vertical="center"/>
    </xf>
    <xf numFmtId="0" fontId="22" fillId="0" borderId="0" xfId="0" applyFont="1" applyAlignment="1">
      <alignment wrapText="1"/>
    </xf>
    <xf numFmtId="0" fontId="0" fillId="0" borderId="0" xfId="0" applyAlignment="1">
      <alignment wrapText="1"/>
    </xf>
    <xf numFmtId="0" fontId="13" fillId="0" borderId="0" xfId="0" applyFont="1" applyAlignment="1">
      <alignment wrapText="1"/>
    </xf>
    <xf numFmtId="0" fontId="7"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9" fillId="0" borderId="0" xfId="0" applyFont="1" applyAlignment="1">
      <alignment horizontal="center" wrapText="1"/>
    </xf>
    <xf numFmtId="0" fontId="0" fillId="0" borderId="0" xfId="0" applyAlignment="1">
      <alignment horizontal="left"/>
    </xf>
    <xf numFmtId="0" fontId="0" fillId="0" borderId="1" xfId="0" applyBorder="1" applyAlignment="1">
      <alignment horizontal="center"/>
    </xf>
    <xf numFmtId="0" fontId="0" fillId="0" borderId="0" xfId="0" applyAlignment="1">
      <alignment horizontal="center"/>
    </xf>
    <xf numFmtId="0" fontId="19" fillId="0" borderId="0" xfId="0" applyFont="1" applyAlignment="1">
      <alignment horizontal="center"/>
    </xf>
    <xf numFmtId="0" fontId="0" fillId="0" borderId="0" xfId="0" applyAlignment="1">
      <alignment horizontal="left" wrapText="1"/>
    </xf>
    <xf numFmtId="0" fontId="22" fillId="0" borderId="0" xfId="0" applyFont="1" applyAlignment="1">
      <alignment horizontal="center"/>
    </xf>
    <xf numFmtId="0" fontId="22" fillId="0" borderId="0" xfId="0" applyFont="1" applyAlignment="1">
      <alignment horizontal="center" wrapText="1"/>
    </xf>
    <xf numFmtId="0" fontId="13" fillId="0" borderId="0" xfId="0" applyFont="1" applyAlignment="1">
      <alignment horizontal="left"/>
    </xf>
    <xf numFmtId="0" fontId="13" fillId="0" borderId="0" xfId="0" applyFont="1" applyAlignment="1">
      <alignment horizontal="left" wrapText="1"/>
    </xf>
    <xf numFmtId="0" fontId="28" fillId="0" borderId="0" xfId="0" applyFont="1" applyAlignment="1">
      <alignment horizontal="left" vertical="top" wrapText="1"/>
    </xf>
    <xf numFmtId="0" fontId="37" fillId="0" borderId="0" xfId="0" applyFont="1" applyAlignment="1">
      <alignment horizontal="center" wrapText="1"/>
    </xf>
    <xf numFmtId="164" fontId="13" fillId="4" borderId="0" xfId="0" applyNumberFormat="1" applyFont="1" applyFill="1"/>
    <xf numFmtId="165" fontId="0" fillId="0" borderId="0" xfId="2" applyNumberFormat="1" applyFont="1"/>
  </cellXfs>
  <cellStyles count="3">
    <cellStyle name="Hyperlink" xfId="1"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22/11/relationships/FeaturePropertyBag" Target="featurePropertyBag/feature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0.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'Task 1 - Bubble Sort'!$AS$39</c:f>
              <c:strCache>
                <c:ptCount val="1"/>
                <c:pt idx="0">
                  <c:v>Ability to be detected</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1 - Bubble Sort'!$AR$40:$AR$49</c:f>
              <c:strCache>
                <c:ptCount val="10"/>
                <c:pt idx="0">
                  <c:v>Grok-3</c:v>
                </c:pt>
                <c:pt idx="1">
                  <c:v>Claude Sonnet 4</c:v>
                </c:pt>
                <c:pt idx="2">
                  <c:v>Falcon-H1-3B-Instruct</c:v>
                </c:pt>
                <c:pt idx="3">
                  <c:v>Gemini 2.5 Pro</c:v>
                </c:pt>
                <c:pt idx="4">
                  <c:v>ChatGPT-4o</c:v>
                </c:pt>
                <c:pt idx="5">
                  <c:v>Mistral Le Chat</c:v>
                </c:pt>
                <c:pt idx="6">
                  <c:v>Qwen3-235b-a22b</c:v>
                </c:pt>
                <c:pt idx="7">
                  <c:v>DeepSeek V3</c:v>
                </c:pt>
                <c:pt idx="8">
                  <c:v>Llama-4-Scout-nitro</c:v>
                </c:pt>
                <c:pt idx="9">
                  <c:v>Perplexity</c:v>
                </c:pt>
              </c:strCache>
            </c:strRef>
          </c:cat>
          <c:val>
            <c:numRef>
              <c:f>'Task 1 - Bubble Sort'!$AS$40:$AS$49</c:f>
              <c:numCache>
                <c:formatCode>0.0</c:formatCode>
                <c:ptCount val="10"/>
                <c:pt idx="0">
                  <c:v>67.222222222222229</c:v>
                </c:pt>
                <c:pt idx="1">
                  <c:v>77.666666666666671</c:v>
                </c:pt>
                <c:pt idx="2">
                  <c:v>83.166666666666671</c:v>
                </c:pt>
                <c:pt idx="3">
                  <c:v>84.611111111111114</c:v>
                </c:pt>
                <c:pt idx="4">
                  <c:v>84.888888888888886</c:v>
                </c:pt>
                <c:pt idx="5">
                  <c:v>84.888888888888886</c:v>
                </c:pt>
                <c:pt idx="6">
                  <c:v>87.166666666666671</c:v>
                </c:pt>
                <c:pt idx="7">
                  <c:v>87.444444444444443</c:v>
                </c:pt>
                <c:pt idx="8">
                  <c:v>88.777777777777771</c:v>
                </c:pt>
                <c:pt idx="9">
                  <c:v>90.722222222222229</c:v>
                </c:pt>
              </c:numCache>
            </c:numRef>
          </c:val>
          <c:extLst>
            <c:ext xmlns:c16="http://schemas.microsoft.com/office/drawing/2014/chart" uri="{C3380CC4-5D6E-409C-BE32-E72D297353CC}">
              <c16:uniqueId val="{00000000-27EB-4CB0-AE78-131D691E38B6}"/>
            </c:ext>
          </c:extLst>
        </c:ser>
        <c:dLbls>
          <c:dLblPos val="outEnd"/>
          <c:showLegendKey val="0"/>
          <c:showVal val="1"/>
          <c:showCatName val="0"/>
          <c:showSerName val="0"/>
          <c:showPercent val="0"/>
          <c:showBubbleSize val="0"/>
        </c:dLbls>
        <c:gapWidth val="182"/>
        <c:axId val="2033105568"/>
        <c:axId val="2033096448"/>
      </c:barChart>
      <c:catAx>
        <c:axId val="203310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33096448"/>
        <c:crosses val="autoZero"/>
        <c:auto val="1"/>
        <c:lblAlgn val="ctr"/>
        <c:lblOffset val="100"/>
        <c:noMultiLvlLbl val="0"/>
      </c:catAx>
      <c:valAx>
        <c:axId val="2033096448"/>
        <c:scaling>
          <c:orientation val="minMax"/>
        </c:scaling>
        <c:delete val="1"/>
        <c:axPos val="b"/>
        <c:numFmt formatCode="0.0" sourceLinked="1"/>
        <c:majorTickMark val="none"/>
        <c:minorTickMark val="none"/>
        <c:tickLblPos val="nextTo"/>
        <c:crossAx val="2033105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6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'Task 1 - Bubble Sort'!$AS$25</c:f>
              <c:strCache>
                <c:ptCount val="1"/>
                <c:pt idx="0">
                  <c:v>Ability to detect</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1 - Bubble Sort'!$AR$26:$AR$35</c:f>
              <c:strCache>
                <c:ptCount val="10"/>
                <c:pt idx="0">
                  <c:v>Falcon-H1-3B-Instruct</c:v>
                </c:pt>
                <c:pt idx="1">
                  <c:v>Claude Sonnet 4</c:v>
                </c:pt>
                <c:pt idx="2">
                  <c:v>Gemini 2.5 Pro</c:v>
                </c:pt>
                <c:pt idx="3">
                  <c:v>Llama-4-Scout-nitro</c:v>
                </c:pt>
                <c:pt idx="4">
                  <c:v>Perplexity</c:v>
                </c:pt>
                <c:pt idx="5">
                  <c:v>Qwen3-235b-a22b</c:v>
                </c:pt>
                <c:pt idx="6">
                  <c:v>DeepSeek V3</c:v>
                </c:pt>
                <c:pt idx="7">
                  <c:v>Grok-3</c:v>
                </c:pt>
                <c:pt idx="8">
                  <c:v>ChatGPT-4o</c:v>
                </c:pt>
                <c:pt idx="9">
                  <c:v>Mistral Le Chat</c:v>
                </c:pt>
              </c:strCache>
            </c:strRef>
          </c:cat>
          <c:val>
            <c:numRef>
              <c:f>'Task 1 - Bubble Sort'!$AS$26:$AS$35</c:f>
              <c:numCache>
                <c:formatCode>General</c:formatCode>
                <c:ptCount val="10"/>
                <c:pt idx="0">
                  <c:v>14.25</c:v>
                </c:pt>
                <c:pt idx="1">
                  <c:v>77.05</c:v>
                </c:pt>
                <c:pt idx="2">
                  <c:v>90</c:v>
                </c:pt>
                <c:pt idx="3">
                  <c:v>91</c:v>
                </c:pt>
                <c:pt idx="4">
                  <c:v>95</c:v>
                </c:pt>
                <c:pt idx="5">
                  <c:v>95.5</c:v>
                </c:pt>
                <c:pt idx="6">
                  <c:v>96</c:v>
                </c:pt>
                <c:pt idx="7">
                  <c:v>96</c:v>
                </c:pt>
                <c:pt idx="8">
                  <c:v>98.1</c:v>
                </c:pt>
              </c:numCache>
            </c:numRef>
          </c:val>
          <c:extLst>
            <c:ext xmlns:c16="http://schemas.microsoft.com/office/drawing/2014/chart" uri="{C3380CC4-5D6E-409C-BE32-E72D297353CC}">
              <c16:uniqueId val="{00000000-2F12-40CA-A0AA-13CB1DC8255B}"/>
            </c:ext>
          </c:extLst>
        </c:ser>
        <c:dLbls>
          <c:dLblPos val="outEnd"/>
          <c:showLegendKey val="0"/>
          <c:showVal val="1"/>
          <c:showCatName val="0"/>
          <c:showSerName val="0"/>
          <c:showPercent val="0"/>
          <c:showBubbleSize val="0"/>
        </c:dLbls>
        <c:gapWidth val="182"/>
        <c:axId val="2033043648"/>
        <c:axId val="2033044128"/>
      </c:barChart>
      <c:catAx>
        <c:axId val="203304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33044128"/>
        <c:crosses val="autoZero"/>
        <c:auto val="1"/>
        <c:lblAlgn val="ctr"/>
        <c:lblOffset val="100"/>
        <c:noMultiLvlLbl val="0"/>
      </c:catAx>
      <c:valAx>
        <c:axId val="2033044128"/>
        <c:scaling>
          <c:orientation val="minMax"/>
        </c:scaling>
        <c:delete val="1"/>
        <c:axPos val="b"/>
        <c:numFmt formatCode="General" sourceLinked="1"/>
        <c:majorTickMark val="none"/>
        <c:minorTickMark val="none"/>
        <c:tickLblPos val="nextTo"/>
        <c:crossAx val="203304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'Task 2 - CLA'!$AS$39</c:f>
              <c:strCache>
                <c:ptCount val="1"/>
                <c:pt idx="0">
                  <c:v>Ability to be detected</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 CLA'!$AR$40:$AR$49</c:f>
              <c:strCache>
                <c:ptCount val="10"/>
                <c:pt idx="0">
                  <c:v>Perplexity</c:v>
                </c:pt>
                <c:pt idx="1">
                  <c:v>ChatGPT-4o</c:v>
                </c:pt>
                <c:pt idx="2">
                  <c:v>Claude Sonnet 4</c:v>
                </c:pt>
                <c:pt idx="3">
                  <c:v>Grok-3</c:v>
                </c:pt>
                <c:pt idx="4">
                  <c:v>Gemini 2.5 Pro</c:v>
                </c:pt>
                <c:pt idx="5">
                  <c:v>Mistral Le Chat</c:v>
                </c:pt>
                <c:pt idx="6">
                  <c:v>Llama-4-Scout-nitro</c:v>
                </c:pt>
                <c:pt idx="7">
                  <c:v>Falcon-H1-3B-Instruct</c:v>
                </c:pt>
                <c:pt idx="8">
                  <c:v>DeepSeek V3</c:v>
                </c:pt>
                <c:pt idx="9">
                  <c:v>Qwen3-235b-a22b</c:v>
                </c:pt>
              </c:strCache>
            </c:strRef>
          </c:cat>
          <c:val>
            <c:numRef>
              <c:f>'Task 2 - CLA'!$AS$40:$AS$49</c:f>
              <c:numCache>
                <c:formatCode>0.0</c:formatCode>
                <c:ptCount val="10"/>
                <c:pt idx="0">
                  <c:v>71.944444444444443</c:v>
                </c:pt>
                <c:pt idx="1">
                  <c:v>72.5</c:v>
                </c:pt>
                <c:pt idx="2">
                  <c:v>73.055555555555557</c:v>
                </c:pt>
                <c:pt idx="3">
                  <c:v>73.888888888888886</c:v>
                </c:pt>
                <c:pt idx="4">
                  <c:v>76.277777777777771</c:v>
                </c:pt>
                <c:pt idx="5">
                  <c:v>78.5</c:v>
                </c:pt>
                <c:pt idx="6">
                  <c:v>80.277777777777771</c:v>
                </c:pt>
                <c:pt idx="7">
                  <c:v>80.666666666666671</c:v>
                </c:pt>
                <c:pt idx="8">
                  <c:v>82.111111111111114</c:v>
                </c:pt>
                <c:pt idx="9">
                  <c:v>82.666666666666671</c:v>
                </c:pt>
              </c:numCache>
            </c:numRef>
          </c:val>
          <c:extLst>
            <c:ext xmlns:c16="http://schemas.microsoft.com/office/drawing/2014/chart" uri="{C3380CC4-5D6E-409C-BE32-E72D297353CC}">
              <c16:uniqueId val="{00000000-72F2-47F5-A5A8-4745200DE624}"/>
            </c:ext>
          </c:extLst>
        </c:ser>
        <c:dLbls>
          <c:dLblPos val="outEnd"/>
          <c:showLegendKey val="0"/>
          <c:showVal val="1"/>
          <c:showCatName val="0"/>
          <c:showSerName val="0"/>
          <c:showPercent val="0"/>
          <c:showBubbleSize val="0"/>
        </c:dLbls>
        <c:gapWidth val="182"/>
        <c:axId val="2033105568"/>
        <c:axId val="2033096448"/>
      </c:barChart>
      <c:catAx>
        <c:axId val="203310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33096448"/>
        <c:crosses val="autoZero"/>
        <c:auto val="1"/>
        <c:lblAlgn val="ctr"/>
        <c:lblOffset val="100"/>
        <c:noMultiLvlLbl val="0"/>
      </c:catAx>
      <c:valAx>
        <c:axId val="2033096448"/>
        <c:scaling>
          <c:orientation val="minMax"/>
        </c:scaling>
        <c:delete val="1"/>
        <c:axPos val="b"/>
        <c:numFmt formatCode="0.0" sourceLinked="1"/>
        <c:majorTickMark val="none"/>
        <c:minorTickMark val="none"/>
        <c:tickLblPos val="nextTo"/>
        <c:crossAx val="2033105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60" b="1"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clustered"/>
        <c:varyColors val="0"/>
        <c:ser>
          <c:idx val="0"/>
          <c:order val="0"/>
          <c:tx>
            <c:strRef>
              <c:f>'Task 2 - CLA'!$AS$25</c:f>
              <c:strCache>
                <c:ptCount val="1"/>
                <c:pt idx="0">
                  <c:v>Ability to detect</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 CLA'!$AR$26:$AR$35</c:f>
              <c:strCache>
                <c:ptCount val="10"/>
                <c:pt idx="0">
                  <c:v>Falcon-H1-3B-Instruct</c:v>
                </c:pt>
                <c:pt idx="1">
                  <c:v>Llama-4-Scout-nitro</c:v>
                </c:pt>
                <c:pt idx="2">
                  <c:v>Perplexity</c:v>
                </c:pt>
                <c:pt idx="3">
                  <c:v>Grok-3</c:v>
                </c:pt>
                <c:pt idx="4">
                  <c:v>Claude Sonnet 4</c:v>
                </c:pt>
                <c:pt idx="5">
                  <c:v>ChatGPT-4o</c:v>
                </c:pt>
                <c:pt idx="6">
                  <c:v>Qwen3-235b-a22b</c:v>
                </c:pt>
                <c:pt idx="7">
                  <c:v>Gemini 2.5 Pro</c:v>
                </c:pt>
                <c:pt idx="8">
                  <c:v>DeepSeek V3</c:v>
                </c:pt>
                <c:pt idx="9">
                  <c:v>Mistral Le Chat</c:v>
                </c:pt>
              </c:strCache>
            </c:strRef>
          </c:cat>
          <c:val>
            <c:numRef>
              <c:f>'Task 2 - CLA'!$AS$26:$AS$35</c:f>
              <c:numCache>
                <c:formatCode>0</c:formatCode>
                <c:ptCount val="10"/>
                <c:pt idx="0">
                  <c:v>0</c:v>
                </c:pt>
                <c:pt idx="1">
                  <c:v>59</c:v>
                </c:pt>
                <c:pt idx="2" formatCode="0.0">
                  <c:v>68.5</c:v>
                </c:pt>
                <c:pt idx="3" formatCode="0.0">
                  <c:v>79.25</c:v>
                </c:pt>
                <c:pt idx="4" formatCode="0.0">
                  <c:v>92.7</c:v>
                </c:pt>
                <c:pt idx="5" formatCode="0.0">
                  <c:v>96.5</c:v>
                </c:pt>
                <c:pt idx="6" formatCode="0.0">
                  <c:v>98.75</c:v>
                </c:pt>
                <c:pt idx="7">
                  <c:v>100</c:v>
                </c:pt>
                <c:pt idx="8">
                  <c:v>100</c:v>
                </c:pt>
              </c:numCache>
            </c:numRef>
          </c:val>
          <c:extLst>
            <c:ext xmlns:c16="http://schemas.microsoft.com/office/drawing/2014/chart" uri="{C3380CC4-5D6E-409C-BE32-E72D297353CC}">
              <c16:uniqueId val="{00000000-FD5A-413A-9330-D8E8A7F6F412}"/>
            </c:ext>
          </c:extLst>
        </c:ser>
        <c:dLbls>
          <c:dLblPos val="outEnd"/>
          <c:showLegendKey val="0"/>
          <c:showVal val="1"/>
          <c:showCatName val="0"/>
          <c:showSerName val="0"/>
          <c:showPercent val="0"/>
          <c:showBubbleSize val="0"/>
        </c:dLbls>
        <c:gapWidth val="182"/>
        <c:axId val="2033043648"/>
        <c:axId val="2033044128"/>
      </c:barChart>
      <c:catAx>
        <c:axId val="2033043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2033044128"/>
        <c:crosses val="autoZero"/>
        <c:auto val="1"/>
        <c:lblAlgn val="ctr"/>
        <c:lblOffset val="100"/>
        <c:noMultiLvlLbl val="0"/>
      </c:catAx>
      <c:valAx>
        <c:axId val="2033044128"/>
        <c:scaling>
          <c:orientation val="minMax"/>
        </c:scaling>
        <c:delete val="1"/>
        <c:axPos val="b"/>
        <c:numFmt formatCode="0" sourceLinked="1"/>
        <c:majorTickMark val="none"/>
        <c:minorTickMark val="none"/>
        <c:tickLblPos val="nextTo"/>
        <c:crossAx val="203304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sz="1050">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'Task-3 FSM'!$AR$40:$AR$49</c:f>
              <c:strCache>
                <c:ptCount val="10"/>
                <c:pt idx="0">
                  <c:v>Gemini 2.5 Pro</c:v>
                </c:pt>
                <c:pt idx="1">
                  <c:v>ChatGPT-4o</c:v>
                </c:pt>
                <c:pt idx="2">
                  <c:v>Grok-3</c:v>
                </c:pt>
                <c:pt idx="3">
                  <c:v>Perplexity</c:v>
                </c:pt>
                <c:pt idx="4">
                  <c:v>Falcon-H1-3B-Instruct</c:v>
                </c:pt>
                <c:pt idx="5">
                  <c:v>Claude Sonnet 4</c:v>
                </c:pt>
                <c:pt idx="6">
                  <c:v>Qwen3-235b-a22b</c:v>
                </c:pt>
                <c:pt idx="7">
                  <c:v>DeepSeek V3</c:v>
                </c:pt>
                <c:pt idx="8">
                  <c:v>Mistral Le Chat</c:v>
                </c:pt>
                <c:pt idx="9">
                  <c:v>Llama-4-Scout-nitro</c:v>
                </c:pt>
              </c:strCache>
            </c:strRef>
          </c:cat>
          <c:val>
            <c:numRef>
              <c:f>'Task-3 FSM'!$AS$40:$AS$49</c:f>
              <c:numCache>
                <c:formatCode>0.0</c:formatCode>
                <c:ptCount val="10"/>
                <c:pt idx="0">
                  <c:v>76.666666666666671</c:v>
                </c:pt>
                <c:pt idx="1">
                  <c:v>80.277777777777771</c:v>
                </c:pt>
                <c:pt idx="2">
                  <c:v>85.277777777777771</c:v>
                </c:pt>
                <c:pt idx="3">
                  <c:v>86.944444444444443</c:v>
                </c:pt>
                <c:pt idx="4">
                  <c:v>89.277777777777771</c:v>
                </c:pt>
                <c:pt idx="5">
                  <c:v>91.388888888888886</c:v>
                </c:pt>
                <c:pt idx="6">
                  <c:v>92.666666666666671</c:v>
                </c:pt>
                <c:pt idx="7">
                  <c:v>94.111111111111114</c:v>
                </c:pt>
                <c:pt idx="8">
                  <c:v>95.277777777777771</c:v>
                </c:pt>
                <c:pt idx="9">
                  <c:v>95.555555555555557</c:v>
                </c:pt>
              </c:numCache>
            </c:numRef>
          </c:val>
          <c:extLst>
            <c:ext xmlns:c16="http://schemas.microsoft.com/office/drawing/2014/chart" uri="{C3380CC4-5D6E-409C-BE32-E72D297353CC}">
              <c16:uniqueId val="{00000000-7CE4-42A8-90E8-507A689E1A77}"/>
            </c:ext>
          </c:extLst>
        </c:ser>
        <c:dLbls>
          <c:dLblPos val="outEnd"/>
          <c:showLegendKey val="0"/>
          <c:showVal val="1"/>
          <c:showCatName val="0"/>
          <c:showSerName val="0"/>
          <c:showPercent val="0"/>
          <c:showBubbleSize val="0"/>
        </c:dLbls>
        <c:gapWidth val="182"/>
        <c:axId val="884842399"/>
        <c:axId val="884848159"/>
      </c:barChart>
      <c:catAx>
        <c:axId val="88484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884848159"/>
        <c:crosses val="autoZero"/>
        <c:auto val="1"/>
        <c:lblAlgn val="ctr"/>
        <c:lblOffset val="100"/>
        <c:noMultiLvlLbl val="0"/>
      </c:catAx>
      <c:valAx>
        <c:axId val="884848159"/>
        <c:scaling>
          <c:orientation val="minMax"/>
        </c:scaling>
        <c:delete val="1"/>
        <c:axPos val="b"/>
        <c:numFmt formatCode="0.0" sourceLinked="1"/>
        <c:majorTickMark val="none"/>
        <c:minorTickMark val="none"/>
        <c:tickLblPos val="nextTo"/>
        <c:crossAx val="884842399"/>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001"/>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Ability to detect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'Task-3 FSM'!$AR$26:$AR$35</c:f>
              <c:strCache>
                <c:ptCount val="10"/>
                <c:pt idx="0">
                  <c:v>Claude Sonnet 4</c:v>
                </c:pt>
                <c:pt idx="1">
                  <c:v>Grok-3</c:v>
                </c:pt>
                <c:pt idx="2">
                  <c:v>Falcon-H1-3B-Instruct</c:v>
                </c:pt>
                <c:pt idx="3">
                  <c:v>Llama-4-Scout-nitro</c:v>
                </c:pt>
                <c:pt idx="4">
                  <c:v>ChatGPT-4o</c:v>
                </c:pt>
                <c:pt idx="5">
                  <c:v>Perplexity</c:v>
                </c:pt>
                <c:pt idx="6">
                  <c:v>Qwen3-235b-a22b</c:v>
                </c:pt>
                <c:pt idx="7">
                  <c:v>Gemini 2.5 Pro</c:v>
                </c:pt>
                <c:pt idx="8">
                  <c:v>DeepSeek V3</c:v>
                </c:pt>
                <c:pt idx="9">
                  <c:v>Mistral Le Chat</c:v>
                </c:pt>
              </c:strCache>
            </c:strRef>
          </c:cat>
          <c:val>
            <c:numRef>
              <c:f>'Task-3 FSM'!$AS$26:$AS$35</c:f>
              <c:numCache>
                <c:formatCode>0</c:formatCode>
                <c:ptCount val="10"/>
                <c:pt idx="0">
                  <c:v>67</c:v>
                </c:pt>
                <c:pt idx="1">
                  <c:v>79</c:v>
                </c:pt>
                <c:pt idx="2">
                  <c:v>79</c:v>
                </c:pt>
                <c:pt idx="3" formatCode="0.0">
                  <c:v>88.2</c:v>
                </c:pt>
                <c:pt idx="4">
                  <c:v>91</c:v>
                </c:pt>
                <c:pt idx="5" formatCode="0.0">
                  <c:v>95.5</c:v>
                </c:pt>
                <c:pt idx="6">
                  <c:v>99</c:v>
                </c:pt>
                <c:pt idx="7">
                  <c:v>100</c:v>
                </c:pt>
                <c:pt idx="8">
                  <c:v>100</c:v>
                </c:pt>
              </c:numCache>
            </c:numRef>
          </c:val>
          <c:extLst>
            <c:ext xmlns:c16="http://schemas.microsoft.com/office/drawing/2014/chart" uri="{C3380CC4-5D6E-409C-BE32-E72D297353CC}">
              <c16:uniqueId val="{00000000-2E14-4D04-B469-3A36975486B6}"/>
            </c:ext>
          </c:extLst>
        </c:ser>
        <c:dLbls>
          <c:dLblPos val="outEnd"/>
          <c:showLegendKey val="0"/>
          <c:showVal val="1"/>
          <c:showCatName val="0"/>
          <c:showSerName val="0"/>
          <c:showPercent val="0"/>
          <c:showBubbleSize val="0"/>
        </c:dLbls>
        <c:gapWidth val="182"/>
        <c:axId val="651189663"/>
        <c:axId val="651190623"/>
      </c:barChart>
      <c:catAx>
        <c:axId val="65118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651190623"/>
        <c:crosses val="autoZero"/>
        <c:auto val="1"/>
        <c:lblAlgn val="ctr"/>
        <c:lblOffset val="100"/>
        <c:noMultiLvlLbl val="0"/>
      </c:catAx>
      <c:valAx>
        <c:axId val="6511906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6511896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Ability to detect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4 - I2C'!$AR$26:$AR$35</c:f>
              <c:strCache>
                <c:ptCount val="10"/>
                <c:pt idx="0">
                  <c:v>Falcon-H1-3B-Instruct</c:v>
                </c:pt>
                <c:pt idx="1">
                  <c:v>Mistral Le Chat</c:v>
                </c:pt>
                <c:pt idx="2">
                  <c:v>Claude Sonnet 4</c:v>
                </c:pt>
                <c:pt idx="3">
                  <c:v>Llama-4-Scout-nitro</c:v>
                </c:pt>
                <c:pt idx="4">
                  <c:v>ChatGPT-4o</c:v>
                </c:pt>
                <c:pt idx="5">
                  <c:v>Gemini 2.5 Pro</c:v>
                </c:pt>
                <c:pt idx="6">
                  <c:v>Qwen3-235b-a22b</c:v>
                </c:pt>
                <c:pt idx="7">
                  <c:v>Perplexity</c:v>
                </c:pt>
                <c:pt idx="8">
                  <c:v>DeepSeek V3</c:v>
                </c:pt>
                <c:pt idx="9">
                  <c:v>Grok-3</c:v>
                </c:pt>
              </c:strCache>
            </c:strRef>
          </c:cat>
          <c:val>
            <c:numRef>
              <c:f>'Task 4 - I2C'!$AS$26:$AS$35</c:f>
              <c:numCache>
                <c:formatCode>0</c:formatCode>
                <c:ptCount val="10"/>
                <c:pt idx="0">
                  <c:v>16</c:v>
                </c:pt>
                <c:pt idx="1">
                  <c:v>50</c:v>
                </c:pt>
                <c:pt idx="2" formatCode="0.0">
                  <c:v>76.650000000000006</c:v>
                </c:pt>
                <c:pt idx="3">
                  <c:v>79</c:v>
                </c:pt>
                <c:pt idx="4" formatCode="0.0">
                  <c:v>89.1</c:v>
                </c:pt>
                <c:pt idx="5">
                  <c:v>90</c:v>
                </c:pt>
                <c:pt idx="6" formatCode="0.0">
                  <c:v>93.25</c:v>
                </c:pt>
                <c:pt idx="7" formatCode="0.0">
                  <c:v>94</c:v>
                </c:pt>
                <c:pt idx="8" formatCode="0.0">
                  <c:v>96.25</c:v>
                </c:pt>
                <c:pt idx="9">
                  <c:v>100</c:v>
                </c:pt>
              </c:numCache>
            </c:numRef>
          </c:val>
          <c:extLst>
            <c:ext xmlns:c16="http://schemas.microsoft.com/office/drawing/2014/chart" uri="{C3380CC4-5D6E-409C-BE32-E72D297353CC}">
              <c16:uniqueId val="{00000000-0562-47DC-8A73-E7D990667890}"/>
            </c:ext>
          </c:extLst>
        </c:ser>
        <c:dLbls>
          <c:dLblPos val="outEnd"/>
          <c:showLegendKey val="0"/>
          <c:showVal val="1"/>
          <c:showCatName val="0"/>
          <c:showSerName val="0"/>
          <c:showPercent val="0"/>
          <c:showBubbleSize val="0"/>
        </c:dLbls>
        <c:gapWidth val="182"/>
        <c:axId val="514554751"/>
        <c:axId val="514551391"/>
      </c:barChart>
      <c:catAx>
        <c:axId val="51455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514551391"/>
        <c:crosses val="autoZero"/>
        <c:auto val="1"/>
        <c:lblAlgn val="ctr"/>
        <c:lblOffset val="100"/>
        <c:noMultiLvlLbl val="0"/>
      </c:catAx>
      <c:valAx>
        <c:axId val="514551391"/>
        <c:scaling>
          <c:orientation val="minMax"/>
        </c:scaling>
        <c:delete val="1"/>
        <c:axPos val="b"/>
        <c:numFmt formatCode="0" sourceLinked="1"/>
        <c:majorTickMark val="none"/>
        <c:minorTickMark val="none"/>
        <c:tickLblPos val="nextTo"/>
        <c:crossAx val="51455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Ability to be detected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4 - I2C'!$AR$40:$AR$49</c:f>
              <c:strCache>
                <c:ptCount val="10"/>
                <c:pt idx="0">
                  <c:v>Gemini 2.5 Pro</c:v>
                </c:pt>
                <c:pt idx="1">
                  <c:v>Perplexity</c:v>
                </c:pt>
                <c:pt idx="2">
                  <c:v>Qwen3-235b-a22b</c:v>
                </c:pt>
                <c:pt idx="3">
                  <c:v>Grok-3</c:v>
                </c:pt>
                <c:pt idx="4">
                  <c:v>Llama-4-Scout-nitro</c:v>
                </c:pt>
                <c:pt idx="5">
                  <c:v>Claude Sonnet 4</c:v>
                </c:pt>
                <c:pt idx="6">
                  <c:v>Mistral Le Chat</c:v>
                </c:pt>
                <c:pt idx="7">
                  <c:v>ChatGPT-4o</c:v>
                </c:pt>
                <c:pt idx="8">
                  <c:v>DeepSeek V3</c:v>
                </c:pt>
                <c:pt idx="9">
                  <c:v>Falcon-H1-3B-Instruct</c:v>
                </c:pt>
              </c:strCache>
            </c:strRef>
          </c:cat>
          <c:val>
            <c:numRef>
              <c:f>'Task 4 - I2C'!$AS$40:$AS$49</c:f>
              <c:numCache>
                <c:formatCode>0.0</c:formatCode>
                <c:ptCount val="10"/>
                <c:pt idx="0">
                  <c:v>61.944444444444443</c:v>
                </c:pt>
                <c:pt idx="1">
                  <c:v>76.944444444444443</c:v>
                </c:pt>
                <c:pt idx="2">
                  <c:v>80.555555555555557</c:v>
                </c:pt>
                <c:pt idx="3">
                  <c:v>82.166666666666671</c:v>
                </c:pt>
                <c:pt idx="4">
                  <c:v>82.222222222222229</c:v>
                </c:pt>
                <c:pt idx="5">
                  <c:v>83.333333333333329</c:v>
                </c:pt>
                <c:pt idx="6">
                  <c:v>84.166666666666671</c:v>
                </c:pt>
                <c:pt idx="7">
                  <c:v>84.722222222222229</c:v>
                </c:pt>
                <c:pt idx="8">
                  <c:v>85.888888888888886</c:v>
                </c:pt>
                <c:pt idx="9">
                  <c:v>93.888888888888886</c:v>
                </c:pt>
              </c:numCache>
            </c:numRef>
          </c:val>
          <c:extLst>
            <c:ext xmlns:c16="http://schemas.microsoft.com/office/drawing/2014/chart" uri="{C3380CC4-5D6E-409C-BE32-E72D297353CC}">
              <c16:uniqueId val="{00000000-02BC-46E6-B706-7864D09A02A7}"/>
            </c:ext>
          </c:extLst>
        </c:ser>
        <c:dLbls>
          <c:dLblPos val="outEnd"/>
          <c:showLegendKey val="0"/>
          <c:showVal val="1"/>
          <c:showCatName val="0"/>
          <c:showSerName val="0"/>
          <c:showPercent val="0"/>
          <c:showBubbleSize val="0"/>
        </c:dLbls>
        <c:gapWidth val="182"/>
        <c:axId val="641451071"/>
        <c:axId val="641452511"/>
      </c:barChart>
      <c:catAx>
        <c:axId val="64145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641452511"/>
        <c:crosses val="autoZero"/>
        <c:auto val="1"/>
        <c:lblAlgn val="ctr"/>
        <c:lblOffset val="100"/>
        <c:noMultiLvlLbl val="0"/>
      </c:catAx>
      <c:valAx>
        <c:axId val="641452511"/>
        <c:scaling>
          <c:orientation val="minMax"/>
        </c:scaling>
        <c:delete val="1"/>
        <c:axPos val="b"/>
        <c:numFmt formatCode="0.0" sourceLinked="1"/>
        <c:majorTickMark val="none"/>
        <c:minorTickMark val="none"/>
        <c:tickLblPos val="nextTo"/>
        <c:crossAx val="64145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Ability to detect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5 -MPI'!$AR$26:$AR$35</c:f>
              <c:strCache>
                <c:ptCount val="10"/>
                <c:pt idx="0">
                  <c:v>Claude Sonnet 4</c:v>
                </c:pt>
                <c:pt idx="1">
                  <c:v>Grok-3</c:v>
                </c:pt>
                <c:pt idx="2">
                  <c:v>Perplexity</c:v>
                </c:pt>
                <c:pt idx="3">
                  <c:v>Llama-4-Scout-nitro</c:v>
                </c:pt>
                <c:pt idx="4">
                  <c:v>Falcon-H1-3B-Instruct</c:v>
                </c:pt>
                <c:pt idx="5">
                  <c:v>ChatGPT-4o</c:v>
                </c:pt>
                <c:pt idx="6">
                  <c:v>Qwen3-235b-a22b</c:v>
                </c:pt>
                <c:pt idx="7">
                  <c:v>Mistral Le Chat</c:v>
                </c:pt>
                <c:pt idx="8">
                  <c:v>DeepSeek V3</c:v>
                </c:pt>
                <c:pt idx="9">
                  <c:v>Gemini 2.5 Pro</c:v>
                </c:pt>
              </c:strCache>
            </c:strRef>
          </c:cat>
          <c:val>
            <c:numRef>
              <c:f>'Task 5 -MPI'!$AS$26:$AS$35</c:f>
              <c:numCache>
                <c:formatCode>0.0</c:formatCode>
                <c:ptCount val="10"/>
                <c:pt idx="0">
                  <c:v>78.650000000000006</c:v>
                </c:pt>
                <c:pt idx="1">
                  <c:v>86.5</c:v>
                </c:pt>
                <c:pt idx="2">
                  <c:v>87.75</c:v>
                </c:pt>
                <c:pt idx="3">
                  <c:v>88.2</c:v>
                </c:pt>
                <c:pt idx="4" formatCode="0">
                  <c:v>90</c:v>
                </c:pt>
                <c:pt idx="5" formatCode="0">
                  <c:v>93</c:v>
                </c:pt>
                <c:pt idx="6">
                  <c:v>93.5</c:v>
                </c:pt>
                <c:pt idx="7">
                  <c:v>94.875</c:v>
                </c:pt>
                <c:pt idx="8">
                  <c:v>96.7</c:v>
                </c:pt>
                <c:pt idx="9">
                  <c:v>98.25</c:v>
                </c:pt>
              </c:numCache>
            </c:numRef>
          </c:val>
          <c:extLst>
            <c:ext xmlns:c16="http://schemas.microsoft.com/office/drawing/2014/chart" uri="{C3380CC4-5D6E-409C-BE32-E72D297353CC}">
              <c16:uniqueId val="{00000000-977D-49C2-995C-91C72F7ACE95}"/>
            </c:ext>
          </c:extLst>
        </c:ser>
        <c:dLbls>
          <c:dLblPos val="outEnd"/>
          <c:showLegendKey val="0"/>
          <c:showVal val="1"/>
          <c:showCatName val="0"/>
          <c:showSerName val="0"/>
          <c:showPercent val="0"/>
          <c:showBubbleSize val="0"/>
        </c:dLbls>
        <c:gapWidth val="182"/>
        <c:axId val="514554751"/>
        <c:axId val="514551391"/>
      </c:barChart>
      <c:catAx>
        <c:axId val="51455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514551391"/>
        <c:crosses val="autoZero"/>
        <c:auto val="1"/>
        <c:lblAlgn val="ctr"/>
        <c:lblOffset val="100"/>
        <c:noMultiLvlLbl val="0"/>
      </c:catAx>
      <c:valAx>
        <c:axId val="514551391"/>
        <c:scaling>
          <c:orientation val="minMax"/>
        </c:scaling>
        <c:delete val="1"/>
        <c:axPos val="b"/>
        <c:numFmt formatCode="0.0" sourceLinked="1"/>
        <c:majorTickMark val="none"/>
        <c:minorTickMark val="none"/>
        <c:tickLblPos val="nextTo"/>
        <c:crossAx val="51455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Ability to be detected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5 -MPI'!$AR$40:$AR$49</c:f>
              <c:strCache>
                <c:ptCount val="10"/>
                <c:pt idx="0">
                  <c:v>ChatGPT-4o</c:v>
                </c:pt>
                <c:pt idx="1">
                  <c:v>Gemini 2.5 Pro</c:v>
                </c:pt>
                <c:pt idx="2">
                  <c:v>Qwen3-235b-a22b</c:v>
                </c:pt>
                <c:pt idx="3">
                  <c:v>Grok-3</c:v>
                </c:pt>
                <c:pt idx="4">
                  <c:v>Mistral Le Chat</c:v>
                </c:pt>
                <c:pt idx="5">
                  <c:v>Perplexity</c:v>
                </c:pt>
                <c:pt idx="6">
                  <c:v>Falcon-H1-3B-Instruct</c:v>
                </c:pt>
                <c:pt idx="7">
                  <c:v>Claude Sonnet 4</c:v>
                </c:pt>
                <c:pt idx="8">
                  <c:v>Llama-4-Scout-nitro</c:v>
                </c:pt>
                <c:pt idx="9">
                  <c:v>DeepSeek V3</c:v>
                </c:pt>
              </c:strCache>
            </c:strRef>
          </c:cat>
          <c:val>
            <c:numRef>
              <c:f>'Task 5 -MPI'!$AS$40:$AS$49</c:f>
              <c:numCache>
                <c:formatCode>0.0</c:formatCode>
                <c:ptCount val="10"/>
                <c:pt idx="0">
                  <c:v>83.333333333333329</c:v>
                </c:pt>
                <c:pt idx="1">
                  <c:v>84.722222222222229</c:v>
                </c:pt>
                <c:pt idx="2">
                  <c:v>85.722222222222229</c:v>
                </c:pt>
                <c:pt idx="3">
                  <c:v>89.388888888888886</c:v>
                </c:pt>
                <c:pt idx="4">
                  <c:v>91.833333333333329</c:v>
                </c:pt>
                <c:pt idx="5">
                  <c:v>92.222222222222229</c:v>
                </c:pt>
                <c:pt idx="6">
                  <c:v>92.5</c:v>
                </c:pt>
                <c:pt idx="7">
                  <c:v>93.888888888888886</c:v>
                </c:pt>
                <c:pt idx="8">
                  <c:v>94.333333333333329</c:v>
                </c:pt>
                <c:pt idx="9">
                  <c:v>94.888888888888886</c:v>
                </c:pt>
              </c:numCache>
            </c:numRef>
          </c:val>
          <c:extLst>
            <c:ext xmlns:c16="http://schemas.microsoft.com/office/drawing/2014/chart" uri="{C3380CC4-5D6E-409C-BE32-E72D297353CC}">
              <c16:uniqueId val="{00000000-5661-4993-90BF-FF1E1A3CAF49}"/>
            </c:ext>
          </c:extLst>
        </c:ser>
        <c:dLbls>
          <c:dLblPos val="outEnd"/>
          <c:showLegendKey val="0"/>
          <c:showVal val="1"/>
          <c:showCatName val="0"/>
          <c:showSerName val="0"/>
          <c:showPercent val="0"/>
          <c:showBubbleSize val="0"/>
        </c:dLbls>
        <c:gapWidth val="182"/>
        <c:axId val="641451071"/>
        <c:axId val="641452511"/>
      </c:barChart>
      <c:catAx>
        <c:axId val="64145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641452511"/>
        <c:crosses val="autoZero"/>
        <c:auto val="1"/>
        <c:lblAlgn val="ctr"/>
        <c:lblOffset val="100"/>
        <c:noMultiLvlLbl val="0"/>
      </c:catAx>
      <c:valAx>
        <c:axId val="641452511"/>
        <c:scaling>
          <c:orientation val="minMax"/>
        </c:scaling>
        <c:delete val="1"/>
        <c:axPos val="b"/>
        <c:numFmt formatCode="0.0" sourceLinked="1"/>
        <c:majorTickMark val="none"/>
        <c:minorTickMark val="none"/>
        <c:tickLblPos val="nextTo"/>
        <c:crossAx val="64145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Ability to detect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manualLayout>
          <c:layoutTarget val="inner"/>
          <c:xMode val="edge"/>
          <c:yMode val="edge"/>
          <c:x val="0.15625508767925744"/>
          <c:y val="9.9070579057843541E-2"/>
          <c:w val="0.82764185273942203"/>
          <c:h val="0.86798824752308967"/>
        </c:manualLayout>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6-MR'!$AR$26:$AR$35</c:f>
              <c:strCache>
                <c:ptCount val="10"/>
                <c:pt idx="0">
                  <c:v>Claude Sonnet 4</c:v>
                </c:pt>
                <c:pt idx="1">
                  <c:v>Falcon-H1-3B-Instruct</c:v>
                </c:pt>
                <c:pt idx="2">
                  <c:v>Llama-4-Scout-nitro</c:v>
                </c:pt>
                <c:pt idx="3">
                  <c:v>Grok-3</c:v>
                </c:pt>
                <c:pt idx="4">
                  <c:v>Perplexity</c:v>
                </c:pt>
                <c:pt idx="5">
                  <c:v>Qwen3-235b-a22b</c:v>
                </c:pt>
                <c:pt idx="6">
                  <c:v>ChatGPT-4o</c:v>
                </c:pt>
                <c:pt idx="7">
                  <c:v>Mistral Le Chat</c:v>
                </c:pt>
                <c:pt idx="8">
                  <c:v>Gemini 2.5 Pro</c:v>
                </c:pt>
                <c:pt idx="9">
                  <c:v>DeepSeek V3</c:v>
                </c:pt>
              </c:strCache>
            </c:strRef>
          </c:cat>
          <c:val>
            <c:numRef>
              <c:f>'Task 6-MR'!$AS$26:$AS$35</c:f>
              <c:numCache>
                <c:formatCode>0.0</c:formatCode>
                <c:ptCount val="10"/>
                <c:pt idx="0">
                  <c:v>78.650000000000006</c:v>
                </c:pt>
                <c:pt idx="1">
                  <c:v>85.5</c:v>
                </c:pt>
                <c:pt idx="2" formatCode="0">
                  <c:v>88</c:v>
                </c:pt>
                <c:pt idx="3" formatCode="0">
                  <c:v>91</c:v>
                </c:pt>
                <c:pt idx="4">
                  <c:v>91.05</c:v>
                </c:pt>
                <c:pt idx="5" formatCode="0">
                  <c:v>93</c:v>
                </c:pt>
                <c:pt idx="6">
                  <c:v>95.75</c:v>
                </c:pt>
                <c:pt idx="7">
                  <c:v>97.35</c:v>
                </c:pt>
                <c:pt idx="8">
                  <c:v>97.4</c:v>
                </c:pt>
                <c:pt idx="9">
                  <c:v>98.5</c:v>
                </c:pt>
              </c:numCache>
            </c:numRef>
          </c:val>
          <c:extLst>
            <c:ext xmlns:c16="http://schemas.microsoft.com/office/drawing/2014/chart" uri="{C3380CC4-5D6E-409C-BE32-E72D297353CC}">
              <c16:uniqueId val="{00000000-A74C-48A0-AF82-7C1F5D478757}"/>
            </c:ext>
          </c:extLst>
        </c:ser>
        <c:dLbls>
          <c:dLblPos val="outEnd"/>
          <c:showLegendKey val="0"/>
          <c:showVal val="1"/>
          <c:showCatName val="0"/>
          <c:showSerName val="0"/>
          <c:showPercent val="0"/>
          <c:showBubbleSize val="0"/>
        </c:dLbls>
        <c:gapWidth val="182"/>
        <c:axId val="514554751"/>
        <c:axId val="514551391"/>
      </c:barChart>
      <c:catAx>
        <c:axId val="51455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514551391"/>
        <c:crosses val="autoZero"/>
        <c:auto val="1"/>
        <c:lblAlgn val="ctr"/>
        <c:lblOffset val="100"/>
        <c:noMultiLvlLbl val="0"/>
      </c:catAx>
      <c:valAx>
        <c:axId val="514551391"/>
        <c:scaling>
          <c:orientation val="minMax"/>
        </c:scaling>
        <c:delete val="1"/>
        <c:axPos val="b"/>
        <c:numFmt formatCode="0.0" sourceLinked="1"/>
        <c:majorTickMark val="none"/>
        <c:minorTickMark val="none"/>
        <c:tickLblPos val="nextTo"/>
        <c:crossAx val="51455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Ability to be detected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6-MR'!$AR$40:$AR$49</c:f>
              <c:strCache>
                <c:ptCount val="10"/>
                <c:pt idx="0">
                  <c:v>ChatGPT-4o</c:v>
                </c:pt>
                <c:pt idx="1">
                  <c:v>Claude Sonnet 4</c:v>
                </c:pt>
                <c:pt idx="2">
                  <c:v>Qwen3-235b-a22b</c:v>
                </c:pt>
                <c:pt idx="3">
                  <c:v>Gemini 2.5 Pro</c:v>
                </c:pt>
                <c:pt idx="4">
                  <c:v>Llama-4-Scout-nitro</c:v>
                </c:pt>
                <c:pt idx="5">
                  <c:v>Falcon-H1-3B-Instruct</c:v>
                </c:pt>
                <c:pt idx="6">
                  <c:v>Perplexity</c:v>
                </c:pt>
                <c:pt idx="7">
                  <c:v>Grok-3</c:v>
                </c:pt>
                <c:pt idx="8">
                  <c:v>Mistral Le Chat</c:v>
                </c:pt>
                <c:pt idx="9">
                  <c:v>DeepSeek V3</c:v>
                </c:pt>
              </c:strCache>
            </c:strRef>
          </c:cat>
          <c:val>
            <c:numRef>
              <c:f>'Task 6-MR'!$AS$40:$AS$49</c:f>
              <c:numCache>
                <c:formatCode>0.0</c:formatCode>
                <c:ptCount val="10"/>
                <c:pt idx="0">
                  <c:v>82.777777777777771</c:v>
                </c:pt>
                <c:pt idx="1">
                  <c:v>86.388888888888886</c:v>
                </c:pt>
                <c:pt idx="2">
                  <c:v>88.5</c:v>
                </c:pt>
                <c:pt idx="3">
                  <c:v>89.722222222222229</c:v>
                </c:pt>
                <c:pt idx="4">
                  <c:v>93.111111111111114</c:v>
                </c:pt>
                <c:pt idx="5">
                  <c:v>93.277777777777771</c:v>
                </c:pt>
                <c:pt idx="6">
                  <c:v>93.5</c:v>
                </c:pt>
                <c:pt idx="7">
                  <c:v>93.777777777777771</c:v>
                </c:pt>
                <c:pt idx="8">
                  <c:v>94.055555555555557</c:v>
                </c:pt>
                <c:pt idx="9">
                  <c:v>94.722222222222229</c:v>
                </c:pt>
              </c:numCache>
            </c:numRef>
          </c:val>
          <c:extLst>
            <c:ext xmlns:c16="http://schemas.microsoft.com/office/drawing/2014/chart" uri="{C3380CC4-5D6E-409C-BE32-E72D297353CC}">
              <c16:uniqueId val="{00000000-4248-4686-8CF0-FB0F60CE8146}"/>
            </c:ext>
          </c:extLst>
        </c:ser>
        <c:dLbls>
          <c:dLblPos val="outEnd"/>
          <c:showLegendKey val="0"/>
          <c:showVal val="1"/>
          <c:showCatName val="0"/>
          <c:showSerName val="0"/>
          <c:showPercent val="0"/>
          <c:showBubbleSize val="0"/>
        </c:dLbls>
        <c:gapWidth val="182"/>
        <c:axId val="641451071"/>
        <c:axId val="641452511"/>
      </c:barChart>
      <c:catAx>
        <c:axId val="64145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641452511"/>
        <c:crosses val="autoZero"/>
        <c:auto val="1"/>
        <c:lblAlgn val="ctr"/>
        <c:lblOffset val="100"/>
        <c:noMultiLvlLbl val="0"/>
      </c:catAx>
      <c:valAx>
        <c:axId val="641452511"/>
        <c:scaling>
          <c:orientation val="minMax"/>
        </c:scaling>
        <c:delete val="1"/>
        <c:axPos val="b"/>
        <c:numFmt formatCode="0.0" sourceLinked="1"/>
        <c:majorTickMark val="none"/>
        <c:minorTickMark val="none"/>
        <c:tickLblPos val="nextTo"/>
        <c:crossAx val="64145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Ability to detect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manualLayout>
          <c:layoutTarget val="inner"/>
          <c:xMode val="edge"/>
          <c:yMode val="edge"/>
          <c:x val="0.15625508767925744"/>
          <c:y val="9.9070579057843541E-2"/>
          <c:w val="0.82764185273942203"/>
          <c:h val="0.86798824752308967"/>
        </c:manualLayout>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7-OOP'!$AR$26:$AR$35</c:f>
              <c:strCache>
                <c:ptCount val="10"/>
                <c:pt idx="0">
                  <c:v>Falcon-H1-3B-Instruct</c:v>
                </c:pt>
                <c:pt idx="1">
                  <c:v>Claude Sonnet 4</c:v>
                </c:pt>
                <c:pt idx="2">
                  <c:v>Llama-4-Scout-nitro</c:v>
                </c:pt>
                <c:pt idx="3">
                  <c:v>Perplexity</c:v>
                </c:pt>
                <c:pt idx="4">
                  <c:v>ChatGPT-4o</c:v>
                </c:pt>
                <c:pt idx="5">
                  <c:v>Qwen3-235b-a22b</c:v>
                </c:pt>
                <c:pt idx="6">
                  <c:v>Mistral Le Chat</c:v>
                </c:pt>
                <c:pt idx="7">
                  <c:v>Gemini 2.5 Pro</c:v>
                </c:pt>
                <c:pt idx="8">
                  <c:v>DeepSeek V3</c:v>
                </c:pt>
                <c:pt idx="9">
                  <c:v>Grok-3</c:v>
                </c:pt>
              </c:strCache>
            </c:strRef>
          </c:cat>
          <c:val>
            <c:numRef>
              <c:f>'Task 7-OOP'!$AS$26:$AS$35</c:f>
              <c:numCache>
                <c:formatCode>0.0</c:formatCode>
                <c:ptCount val="10"/>
                <c:pt idx="0">
                  <c:v>5.2</c:v>
                </c:pt>
                <c:pt idx="1">
                  <c:v>85.55</c:v>
                </c:pt>
                <c:pt idx="2" formatCode="0">
                  <c:v>87</c:v>
                </c:pt>
                <c:pt idx="3">
                  <c:v>90.5</c:v>
                </c:pt>
                <c:pt idx="4">
                  <c:v>94.25</c:v>
                </c:pt>
                <c:pt idx="5">
                  <c:v>95.5</c:v>
                </c:pt>
                <c:pt idx="6">
                  <c:v>98.3</c:v>
                </c:pt>
                <c:pt idx="7">
                  <c:v>98.65</c:v>
                </c:pt>
                <c:pt idx="8" formatCode="0">
                  <c:v>100</c:v>
                </c:pt>
                <c:pt idx="9" formatCode="0">
                  <c:v>100</c:v>
                </c:pt>
              </c:numCache>
            </c:numRef>
          </c:val>
          <c:extLst>
            <c:ext xmlns:c16="http://schemas.microsoft.com/office/drawing/2014/chart" uri="{C3380CC4-5D6E-409C-BE32-E72D297353CC}">
              <c16:uniqueId val="{00000000-62B6-42B8-AC82-E8921752423A}"/>
            </c:ext>
          </c:extLst>
        </c:ser>
        <c:dLbls>
          <c:dLblPos val="outEnd"/>
          <c:showLegendKey val="0"/>
          <c:showVal val="1"/>
          <c:showCatName val="0"/>
          <c:showSerName val="0"/>
          <c:showPercent val="0"/>
          <c:showBubbleSize val="0"/>
        </c:dLbls>
        <c:gapWidth val="182"/>
        <c:axId val="514554751"/>
        <c:axId val="514551391"/>
      </c:barChart>
      <c:catAx>
        <c:axId val="51455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514551391"/>
        <c:crosses val="autoZero"/>
        <c:auto val="1"/>
        <c:lblAlgn val="ctr"/>
        <c:lblOffset val="100"/>
        <c:noMultiLvlLbl val="0"/>
      </c:catAx>
      <c:valAx>
        <c:axId val="514551391"/>
        <c:scaling>
          <c:orientation val="minMax"/>
        </c:scaling>
        <c:delete val="1"/>
        <c:axPos val="b"/>
        <c:numFmt formatCode="0.0" sourceLinked="1"/>
        <c:majorTickMark val="none"/>
        <c:minorTickMark val="none"/>
        <c:tickLblPos val="nextTo"/>
        <c:crossAx val="51455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Ability to be detected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7-OOP'!$AR$40:$AR$49</c:f>
              <c:strCache>
                <c:ptCount val="10"/>
                <c:pt idx="0">
                  <c:v>Gemini 2.5 Pro</c:v>
                </c:pt>
                <c:pt idx="1">
                  <c:v>Perplexity</c:v>
                </c:pt>
                <c:pt idx="2">
                  <c:v>ChatGPT-4o</c:v>
                </c:pt>
                <c:pt idx="3">
                  <c:v>Claude Sonnet 4</c:v>
                </c:pt>
                <c:pt idx="4">
                  <c:v>Qwen3-235b-a22b</c:v>
                </c:pt>
                <c:pt idx="5">
                  <c:v>Falcon-H1-3B-Instruct</c:v>
                </c:pt>
                <c:pt idx="6">
                  <c:v>Grok-3</c:v>
                </c:pt>
                <c:pt idx="7">
                  <c:v>Mistral Le Chat</c:v>
                </c:pt>
                <c:pt idx="8">
                  <c:v>DeepSeek V3</c:v>
                </c:pt>
                <c:pt idx="9">
                  <c:v>Llama-4-Scout-nitro</c:v>
                </c:pt>
              </c:strCache>
            </c:strRef>
          </c:cat>
          <c:val>
            <c:numRef>
              <c:f>'Task 7-OOP'!$AS$40:$AS$49</c:f>
              <c:numCache>
                <c:formatCode>0.0</c:formatCode>
                <c:ptCount val="10"/>
                <c:pt idx="0">
                  <c:v>80.555555555555557</c:v>
                </c:pt>
                <c:pt idx="1">
                  <c:v>82.222222222222229</c:v>
                </c:pt>
                <c:pt idx="2">
                  <c:v>82.5</c:v>
                </c:pt>
                <c:pt idx="3">
                  <c:v>82.777777777777771</c:v>
                </c:pt>
                <c:pt idx="4">
                  <c:v>83.555555555555557</c:v>
                </c:pt>
                <c:pt idx="5">
                  <c:v>84.722222222222229</c:v>
                </c:pt>
                <c:pt idx="6">
                  <c:v>84.944444444444443</c:v>
                </c:pt>
                <c:pt idx="7">
                  <c:v>85.666666666666671</c:v>
                </c:pt>
                <c:pt idx="8">
                  <c:v>86.833333333333329</c:v>
                </c:pt>
                <c:pt idx="9">
                  <c:v>86.944444444444443</c:v>
                </c:pt>
              </c:numCache>
            </c:numRef>
          </c:val>
          <c:extLst>
            <c:ext xmlns:c16="http://schemas.microsoft.com/office/drawing/2014/chart" uri="{C3380CC4-5D6E-409C-BE32-E72D297353CC}">
              <c16:uniqueId val="{00000000-F52A-41A5-A4F2-297C214B3665}"/>
            </c:ext>
          </c:extLst>
        </c:ser>
        <c:dLbls>
          <c:dLblPos val="outEnd"/>
          <c:showLegendKey val="0"/>
          <c:showVal val="1"/>
          <c:showCatName val="0"/>
          <c:showSerName val="0"/>
          <c:showPercent val="0"/>
          <c:showBubbleSize val="0"/>
        </c:dLbls>
        <c:gapWidth val="182"/>
        <c:axId val="641451071"/>
        <c:axId val="641452511"/>
      </c:barChart>
      <c:catAx>
        <c:axId val="64145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641452511"/>
        <c:crosses val="autoZero"/>
        <c:auto val="1"/>
        <c:lblAlgn val="ctr"/>
        <c:lblOffset val="100"/>
        <c:noMultiLvlLbl val="0"/>
      </c:catAx>
      <c:valAx>
        <c:axId val="641452511"/>
        <c:scaling>
          <c:orientation val="minMax"/>
        </c:scaling>
        <c:delete val="1"/>
        <c:axPos val="b"/>
        <c:numFmt formatCode="0.0" sourceLinked="1"/>
        <c:majorTickMark val="none"/>
        <c:minorTickMark val="none"/>
        <c:tickLblPos val="nextTo"/>
        <c:crossAx val="64145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Ability to detect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manualLayout>
          <c:layoutTarget val="inner"/>
          <c:xMode val="edge"/>
          <c:yMode val="edge"/>
          <c:x val="0.15625508767925744"/>
          <c:y val="9.9070579057843541E-2"/>
          <c:w val="0.82764185273942203"/>
          <c:h val="0.86798824752308967"/>
        </c:manualLayout>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8-PI'!$AR$26:$AR$35</c:f>
              <c:strCache>
                <c:ptCount val="10"/>
                <c:pt idx="0">
                  <c:v>Falcon-H1-3B-Instruct</c:v>
                </c:pt>
                <c:pt idx="1">
                  <c:v>Mistral Le Chat</c:v>
                </c:pt>
                <c:pt idx="2">
                  <c:v>Claude Sonnet 4</c:v>
                </c:pt>
                <c:pt idx="3">
                  <c:v>Gemini 2.5 Pro</c:v>
                </c:pt>
                <c:pt idx="4">
                  <c:v>Llama-4-Scout-nitro</c:v>
                </c:pt>
                <c:pt idx="5">
                  <c:v>Perplexity</c:v>
                </c:pt>
                <c:pt idx="6">
                  <c:v>ChatGPT-4o</c:v>
                </c:pt>
                <c:pt idx="7">
                  <c:v>DeepSeek V3</c:v>
                </c:pt>
                <c:pt idx="8">
                  <c:v>Qwen3-235b-a22b</c:v>
                </c:pt>
                <c:pt idx="9">
                  <c:v>Grok-3</c:v>
                </c:pt>
              </c:strCache>
            </c:strRef>
          </c:cat>
          <c:val>
            <c:numRef>
              <c:f>'Task 8-PI'!$AS$26:$AS$35</c:f>
              <c:numCache>
                <c:formatCode>0.0</c:formatCode>
                <c:ptCount val="10"/>
                <c:pt idx="0" formatCode="0">
                  <c:v>41</c:v>
                </c:pt>
                <c:pt idx="1">
                  <c:v>69.900000000000006</c:v>
                </c:pt>
                <c:pt idx="2">
                  <c:v>72.25</c:v>
                </c:pt>
                <c:pt idx="3" formatCode="0">
                  <c:v>76</c:v>
                </c:pt>
                <c:pt idx="4" formatCode="0">
                  <c:v>83</c:v>
                </c:pt>
                <c:pt idx="5">
                  <c:v>92.25</c:v>
                </c:pt>
                <c:pt idx="6" formatCode="0">
                  <c:v>96</c:v>
                </c:pt>
                <c:pt idx="7">
                  <c:v>98.5</c:v>
                </c:pt>
                <c:pt idx="8">
                  <c:v>98.75</c:v>
                </c:pt>
                <c:pt idx="9" formatCode="0">
                  <c:v>100</c:v>
                </c:pt>
              </c:numCache>
            </c:numRef>
          </c:val>
          <c:extLst>
            <c:ext xmlns:c16="http://schemas.microsoft.com/office/drawing/2014/chart" uri="{C3380CC4-5D6E-409C-BE32-E72D297353CC}">
              <c16:uniqueId val="{00000000-96CA-4A23-BE4A-3C8CC89424C7}"/>
            </c:ext>
          </c:extLst>
        </c:ser>
        <c:dLbls>
          <c:dLblPos val="outEnd"/>
          <c:showLegendKey val="0"/>
          <c:showVal val="1"/>
          <c:showCatName val="0"/>
          <c:showSerName val="0"/>
          <c:showPercent val="0"/>
          <c:showBubbleSize val="0"/>
        </c:dLbls>
        <c:gapWidth val="182"/>
        <c:axId val="514554751"/>
        <c:axId val="514551391"/>
      </c:barChart>
      <c:catAx>
        <c:axId val="51455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514551391"/>
        <c:crosses val="autoZero"/>
        <c:auto val="1"/>
        <c:lblAlgn val="ctr"/>
        <c:lblOffset val="100"/>
        <c:noMultiLvlLbl val="0"/>
      </c:catAx>
      <c:valAx>
        <c:axId val="514551391"/>
        <c:scaling>
          <c:orientation val="minMax"/>
        </c:scaling>
        <c:delete val="1"/>
        <c:axPos val="b"/>
        <c:numFmt formatCode="0" sourceLinked="1"/>
        <c:majorTickMark val="none"/>
        <c:minorTickMark val="none"/>
        <c:tickLblPos val="nextTo"/>
        <c:crossAx val="51455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Ability to be detected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8-PI'!$AR$40:$AR$49</c:f>
              <c:strCache>
                <c:ptCount val="10"/>
                <c:pt idx="0">
                  <c:v>Grok-3</c:v>
                </c:pt>
                <c:pt idx="1">
                  <c:v>Perplexity</c:v>
                </c:pt>
                <c:pt idx="2">
                  <c:v>Qwen3-235b-a22b</c:v>
                </c:pt>
                <c:pt idx="3">
                  <c:v>Falcon-H1-3B-Instruct</c:v>
                </c:pt>
                <c:pt idx="4">
                  <c:v>Gemini 2.5 Pro</c:v>
                </c:pt>
                <c:pt idx="5">
                  <c:v>Claude Sonnet 4</c:v>
                </c:pt>
                <c:pt idx="6">
                  <c:v>Mistral Le Chat</c:v>
                </c:pt>
                <c:pt idx="7">
                  <c:v>Llama-4-Scout-nitro</c:v>
                </c:pt>
                <c:pt idx="8">
                  <c:v>ChatGPT-4o</c:v>
                </c:pt>
                <c:pt idx="9">
                  <c:v>DeepSeek V3</c:v>
                </c:pt>
              </c:strCache>
            </c:strRef>
          </c:cat>
          <c:val>
            <c:numRef>
              <c:f>'Task 8-PI'!$AS$40:$AS$49</c:f>
              <c:numCache>
                <c:formatCode>0.0</c:formatCode>
                <c:ptCount val="10"/>
                <c:pt idx="0">
                  <c:v>70.666666666666671</c:v>
                </c:pt>
                <c:pt idx="1">
                  <c:v>71.444444444444443</c:v>
                </c:pt>
                <c:pt idx="2">
                  <c:v>76.388888888888886</c:v>
                </c:pt>
                <c:pt idx="3">
                  <c:v>86.666666666666671</c:v>
                </c:pt>
                <c:pt idx="4">
                  <c:v>88.055555555555557</c:v>
                </c:pt>
                <c:pt idx="5">
                  <c:v>88.055555555555557</c:v>
                </c:pt>
                <c:pt idx="6">
                  <c:v>88.222222222222229</c:v>
                </c:pt>
                <c:pt idx="7">
                  <c:v>90.5</c:v>
                </c:pt>
                <c:pt idx="8">
                  <c:v>90.833333333333329</c:v>
                </c:pt>
                <c:pt idx="9">
                  <c:v>91.111111111111114</c:v>
                </c:pt>
              </c:numCache>
            </c:numRef>
          </c:val>
          <c:extLst>
            <c:ext xmlns:c16="http://schemas.microsoft.com/office/drawing/2014/chart" uri="{C3380CC4-5D6E-409C-BE32-E72D297353CC}">
              <c16:uniqueId val="{00000000-18A1-423B-A87C-CED569B2A8EB}"/>
            </c:ext>
          </c:extLst>
        </c:ser>
        <c:dLbls>
          <c:dLblPos val="outEnd"/>
          <c:showLegendKey val="0"/>
          <c:showVal val="1"/>
          <c:showCatName val="0"/>
          <c:showSerName val="0"/>
          <c:showPercent val="0"/>
          <c:showBubbleSize val="0"/>
        </c:dLbls>
        <c:gapWidth val="182"/>
        <c:axId val="641451071"/>
        <c:axId val="641452511"/>
      </c:barChart>
      <c:catAx>
        <c:axId val="64145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641452511"/>
        <c:crosses val="autoZero"/>
        <c:auto val="1"/>
        <c:lblAlgn val="ctr"/>
        <c:lblOffset val="100"/>
        <c:noMultiLvlLbl val="0"/>
      </c:catAx>
      <c:valAx>
        <c:axId val="641452511"/>
        <c:scaling>
          <c:orientation val="minMax"/>
        </c:scaling>
        <c:delete val="1"/>
        <c:axPos val="b"/>
        <c:numFmt formatCode="0.0" sourceLinked="1"/>
        <c:majorTickMark val="none"/>
        <c:minorTickMark val="none"/>
        <c:tickLblPos val="nextTo"/>
        <c:crossAx val="64145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Ability to detect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manualLayout>
          <c:layoutTarget val="inner"/>
          <c:xMode val="edge"/>
          <c:yMode val="edge"/>
          <c:x val="0.15625508767925744"/>
          <c:y val="9.9070579057843541E-2"/>
          <c:w val="0.82764185273942203"/>
          <c:h val="0.86798824752308967"/>
        </c:manualLayout>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9-RM'!$AR$26:$AR$35</c:f>
              <c:strCache>
                <c:ptCount val="10"/>
                <c:pt idx="0">
                  <c:v>Falcon-H1-3B-Instruct</c:v>
                </c:pt>
                <c:pt idx="1">
                  <c:v>Mistral Le Chat</c:v>
                </c:pt>
                <c:pt idx="2">
                  <c:v>Claude Sonnet 4</c:v>
                </c:pt>
                <c:pt idx="3">
                  <c:v>Llama-4-Scout-nitro</c:v>
                </c:pt>
                <c:pt idx="4">
                  <c:v>Perplexity</c:v>
                </c:pt>
                <c:pt idx="5">
                  <c:v>Qwen3-235b-a22b</c:v>
                </c:pt>
                <c:pt idx="6">
                  <c:v>ChatGPT-4o</c:v>
                </c:pt>
                <c:pt idx="7">
                  <c:v>Gemini 2.5 Pro</c:v>
                </c:pt>
                <c:pt idx="8">
                  <c:v>DeepSeek V3</c:v>
                </c:pt>
                <c:pt idx="9">
                  <c:v>Grok-3</c:v>
                </c:pt>
              </c:strCache>
            </c:strRef>
          </c:cat>
          <c:val>
            <c:numRef>
              <c:f>'Task 9-RM'!$AS$26:$AS$35</c:f>
              <c:numCache>
                <c:formatCode>0.0</c:formatCode>
                <c:ptCount val="10"/>
                <c:pt idx="0">
                  <c:v>0</c:v>
                </c:pt>
                <c:pt idx="1">
                  <c:v>80.349999999999994</c:v>
                </c:pt>
                <c:pt idx="2">
                  <c:v>84.7</c:v>
                </c:pt>
                <c:pt idx="3" formatCode="0">
                  <c:v>86</c:v>
                </c:pt>
                <c:pt idx="4" formatCode="0">
                  <c:v>89</c:v>
                </c:pt>
                <c:pt idx="5">
                  <c:v>93.25</c:v>
                </c:pt>
                <c:pt idx="6">
                  <c:v>95.65</c:v>
                </c:pt>
                <c:pt idx="7" formatCode="0">
                  <c:v>100</c:v>
                </c:pt>
                <c:pt idx="8" formatCode="0">
                  <c:v>100</c:v>
                </c:pt>
                <c:pt idx="9" formatCode="0">
                  <c:v>100</c:v>
                </c:pt>
              </c:numCache>
            </c:numRef>
          </c:val>
          <c:extLst>
            <c:ext xmlns:c16="http://schemas.microsoft.com/office/drawing/2014/chart" uri="{C3380CC4-5D6E-409C-BE32-E72D297353CC}">
              <c16:uniqueId val="{00000000-5A3C-4D47-9F4B-656F227739EC}"/>
            </c:ext>
          </c:extLst>
        </c:ser>
        <c:dLbls>
          <c:dLblPos val="outEnd"/>
          <c:showLegendKey val="0"/>
          <c:showVal val="1"/>
          <c:showCatName val="0"/>
          <c:showSerName val="0"/>
          <c:showPercent val="0"/>
          <c:showBubbleSize val="0"/>
        </c:dLbls>
        <c:gapWidth val="182"/>
        <c:axId val="514554751"/>
        <c:axId val="514551391"/>
      </c:barChart>
      <c:catAx>
        <c:axId val="51455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514551391"/>
        <c:crosses val="autoZero"/>
        <c:auto val="1"/>
        <c:lblAlgn val="ctr"/>
        <c:lblOffset val="100"/>
        <c:noMultiLvlLbl val="0"/>
      </c:catAx>
      <c:valAx>
        <c:axId val="514551391"/>
        <c:scaling>
          <c:orientation val="minMax"/>
        </c:scaling>
        <c:delete val="1"/>
        <c:axPos val="b"/>
        <c:numFmt formatCode="0.0" sourceLinked="1"/>
        <c:majorTickMark val="none"/>
        <c:minorTickMark val="none"/>
        <c:tickLblPos val="nextTo"/>
        <c:crossAx val="51455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Ability to be detected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9-RM'!$AR$40:$AR$49</c:f>
              <c:strCache>
                <c:ptCount val="10"/>
                <c:pt idx="0">
                  <c:v>Gemini 2.5 Pro</c:v>
                </c:pt>
                <c:pt idx="1">
                  <c:v>ChatGPT-4o</c:v>
                </c:pt>
                <c:pt idx="2">
                  <c:v>Llama-4-Scout-nitro</c:v>
                </c:pt>
                <c:pt idx="3">
                  <c:v>Falcon-H1-3B-Instruct</c:v>
                </c:pt>
                <c:pt idx="4">
                  <c:v>Perplexity</c:v>
                </c:pt>
                <c:pt idx="5">
                  <c:v>Mistral Le Chat</c:v>
                </c:pt>
                <c:pt idx="6">
                  <c:v>Grok-3</c:v>
                </c:pt>
                <c:pt idx="7">
                  <c:v>DeepSeek V3</c:v>
                </c:pt>
                <c:pt idx="8">
                  <c:v>Qwen3-235b-a22b</c:v>
                </c:pt>
                <c:pt idx="9">
                  <c:v>Claude Sonnet 4</c:v>
                </c:pt>
              </c:strCache>
            </c:strRef>
          </c:cat>
          <c:val>
            <c:numRef>
              <c:f>'Task 9-RM'!$AS$40:$AS$49</c:f>
              <c:numCache>
                <c:formatCode>0.0</c:formatCode>
                <c:ptCount val="10"/>
                <c:pt idx="0">
                  <c:v>74.722222222222229</c:v>
                </c:pt>
                <c:pt idx="1">
                  <c:v>81.944444444444443</c:v>
                </c:pt>
                <c:pt idx="2">
                  <c:v>83.055555555555557</c:v>
                </c:pt>
                <c:pt idx="3">
                  <c:v>83.055555555555557</c:v>
                </c:pt>
                <c:pt idx="4">
                  <c:v>83.333333333333329</c:v>
                </c:pt>
                <c:pt idx="5">
                  <c:v>83.611111111111114</c:v>
                </c:pt>
                <c:pt idx="6">
                  <c:v>84.166666666666671</c:v>
                </c:pt>
                <c:pt idx="7">
                  <c:v>85.166666666666671</c:v>
                </c:pt>
                <c:pt idx="8">
                  <c:v>86.166666666666671</c:v>
                </c:pt>
                <c:pt idx="9">
                  <c:v>86.555555555555557</c:v>
                </c:pt>
              </c:numCache>
            </c:numRef>
          </c:val>
          <c:extLst>
            <c:ext xmlns:c16="http://schemas.microsoft.com/office/drawing/2014/chart" uri="{C3380CC4-5D6E-409C-BE32-E72D297353CC}">
              <c16:uniqueId val="{00000000-E2E0-4442-8CD3-5BE064734DCD}"/>
            </c:ext>
          </c:extLst>
        </c:ser>
        <c:dLbls>
          <c:dLblPos val="outEnd"/>
          <c:showLegendKey val="0"/>
          <c:showVal val="1"/>
          <c:showCatName val="0"/>
          <c:showSerName val="0"/>
          <c:showPercent val="0"/>
          <c:showBubbleSize val="0"/>
        </c:dLbls>
        <c:gapWidth val="182"/>
        <c:axId val="641451071"/>
        <c:axId val="641452511"/>
      </c:barChart>
      <c:catAx>
        <c:axId val="64145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641452511"/>
        <c:crosses val="autoZero"/>
        <c:auto val="1"/>
        <c:lblAlgn val="ctr"/>
        <c:lblOffset val="100"/>
        <c:noMultiLvlLbl val="0"/>
      </c:catAx>
      <c:valAx>
        <c:axId val="641452511"/>
        <c:scaling>
          <c:orientation val="minMax"/>
        </c:scaling>
        <c:delete val="1"/>
        <c:axPos val="b"/>
        <c:numFmt formatCode="0.0" sourceLinked="1"/>
        <c:majorTickMark val="none"/>
        <c:minorTickMark val="none"/>
        <c:tickLblPos val="nextTo"/>
        <c:crossAx val="64145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Ability to detect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001"/>
        </a:p>
      </c:txPr>
    </c:title>
    <c:autoTitleDeleted val="0"/>
    <c:plotArea>
      <c:layout>
        <c:manualLayout>
          <c:layoutTarget val="inner"/>
          <c:xMode val="edge"/>
          <c:yMode val="edge"/>
          <c:x val="0.15625508767925744"/>
          <c:y val="9.9070579057843541E-2"/>
          <c:w val="0.82764185273942203"/>
          <c:h val="0.86798824752308967"/>
        </c:manualLayout>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10-SA'!$AR$26:$AR$35</c:f>
              <c:strCache>
                <c:ptCount val="10"/>
                <c:pt idx="0">
                  <c:v>Falcon-H1-3B-Instruct</c:v>
                </c:pt>
                <c:pt idx="1">
                  <c:v>Mistral Le Chat</c:v>
                </c:pt>
                <c:pt idx="2">
                  <c:v>Claude Sonnet 4</c:v>
                </c:pt>
                <c:pt idx="3">
                  <c:v>Llama-4-Scout-nitro</c:v>
                </c:pt>
                <c:pt idx="4">
                  <c:v>Grok-3</c:v>
                </c:pt>
                <c:pt idx="5">
                  <c:v>Perplexity</c:v>
                </c:pt>
                <c:pt idx="6">
                  <c:v>Qwen3-235b-a22b</c:v>
                </c:pt>
                <c:pt idx="7">
                  <c:v>ChatGPT-4o</c:v>
                </c:pt>
                <c:pt idx="8">
                  <c:v>DeepSeek V3</c:v>
                </c:pt>
                <c:pt idx="9">
                  <c:v>Gemini 2.5 Pro</c:v>
                </c:pt>
              </c:strCache>
            </c:strRef>
          </c:cat>
          <c:val>
            <c:numRef>
              <c:f>'Task 10-SA'!$AS$26:$AS$35</c:f>
              <c:numCache>
                <c:formatCode>0.0</c:formatCode>
                <c:ptCount val="10"/>
                <c:pt idx="0" formatCode="0">
                  <c:v>0</c:v>
                </c:pt>
                <c:pt idx="1">
                  <c:v>80.25</c:v>
                </c:pt>
                <c:pt idx="2">
                  <c:v>83.5</c:v>
                </c:pt>
                <c:pt idx="3" formatCode="0">
                  <c:v>85</c:v>
                </c:pt>
                <c:pt idx="4" formatCode="0">
                  <c:v>91</c:v>
                </c:pt>
                <c:pt idx="5">
                  <c:v>91.75</c:v>
                </c:pt>
                <c:pt idx="6">
                  <c:v>94.25</c:v>
                </c:pt>
                <c:pt idx="7" formatCode="0">
                  <c:v>96</c:v>
                </c:pt>
                <c:pt idx="8">
                  <c:v>98.5</c:v>
                </c:pt>
                <c:pt idx="9" formatCode="0">
                  <c:v>100</c:v>
                </c:pt>
              </c:numCache>
            </c:numRef>
          </c:val>
          <c:extLst>
            <c:ext xmlns:c16="http://schemas.microsoft.com/office/drawing/2014/chart" uri="{C3380CC4-5D6E-409C-BE32-E72D297353CC}">
              <c16:uniqueId val="{00000000-2E11-48A7-8E79-C4BE019BBCA8}"/>
            </c:ext>
          </c:extLst>
        </c:ser>
        <c:dLbls>
          <c:dLblPos val="outEnd"/>
          <c:showLegendKey val="0"/>
          <c:showVal val="1"/>
          <c:showCatName val="0"/>
          <c:showSerName val="0"/>
          <c:showPercent val="0"/>
          <c:showBubbleSize val="0"/>
        </c:dLbls>
        <c:gapWidth val="182"/>
        <c:axId val="514554751"/>
        <c:axId val="514551391"/>
      </c:barChart>
      <c:catAx>
        <c:axId val="514554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514551391"/>
        <c:crosses val="autoZero"/>
        <c:auto val="1"/>
        <c:lblAlgn val="ctr"/>
        <c:lblOffset val="100"/>
        <c:noMultiLvlLbl val="0"/>
      </c:catAx>
      <c:valAx>
        <c:axId val="514551391"/>
        <c:scaling>
          <c:orientation val="minMax"/>
        </c:scaling>
        <c:delete val="1"/>
        <c:axPos val="b"/>
        <c:numFmt formatCode="0" sourceLinked="1"/>
        <c:majorTickMark val="none"/>
        <c:minorTickMark val="none"/>
        <c:tickLblPos val="nextTo"/>
        <c:crossAx val="514554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Ability to be detected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10-SA'!$AR$40:$AR$49</c:f>
              <c:strCache>
                <c:ptCount val="10"/>
                <c:pt idx="0">
                  <c:v>Qwen3-235b-a22b</c:v>
                </c:pt>
                <c:pt idx="1">
                  <c:v>Grok-3</c:v>
                </c:pt>
                <c:pt idx="2">
                  <c:v>Claude Sonnet 4</c:v>
                </c:pt>
                <c:pt idx="3">
                  <c:v>Gemini 2.5 Pro</c:v>
                </c:pt>
                <c:pt idx="4">
                  <c:v>ChatGPT-4o</c:v>
                </c:pt>
                <c:pt idx="5">
                  <c:v>Perplexity</c:v>
                </c:pt>
                <c:pt idx="6">
                  <c:v>Mistral Le Chat</c:v>
                </c:pt>
                <c:pt idx="7">
                  <c:v>Falcon-H1-3B-Instruct</c:v>
                </c:pt>
                <c:pt idx="8">
                  <c:v>Llama-4-Scout-nitro</c:v>
                </c:pt>
                <c:pt idx="9">
                  <c:v>DeepSeek V3</c:v>
                </c:pt>
              </c:strCache>
            </c:strRef>
          </c:cat>
          <c:val>
            <c:numRef>
              <c:f>'Task 10-SA'!$AS$40:$AS$49</c:f>
              <c:numCache>
                <c:formatCode>0.0</c:formatCode>
                <c:ptCount val="10"/>
                <c:pt idx="0">
                  <c:v>73.333333333333329</c:v>
                </c:pt>
                <c:pt idx="1">
                  <c:v>79.722222222222229</c:v>
                </c:pt>
                <c:pt idx="2">
                  <c:v>80.833333333333329</c:v>
                </c:pt>
                <c:pt idx="3">
                  <c:v>82.222222222222229</c:v>
                </c:pt>
                <c:pt idx="4">
                  <c:v>83.333333333333329</c:v>
                </c:pt>
                <c:pt idx="5">
                  <c:v>83.611111111111114</c:v>
                </c:pt>
                <c:pt idx="6">
                  <c:v>83.888888888888886</c:v>
                </c:pt>
                <c:pt idx="7">
                  <c:v>84.444444444444443</c:v>
                </c:pt>
                <c:pt idx="8">
                  <c:v>85</c:v>
                </c:pt>
                <c:pt idx="9">
                  <c:v>85.833333333333329</c:v>
                </c:pt>
              </c:numCache>
            </c:numRef>
          </c:val>
          <c:extLst>
            <c:ext xmlns:c16="http://schemas.microsoft.com/office/drawing/2014/chart" uri="{C3380CC4-5D6E-409C-BE32-E72D297353CC}">
              <c16:uniqueId val="{00000000-21C8-481D-B264-D37CA5287F2A}"/>
            </c:ext>
          </c:extLst>
        </c:ser>
        <c:dLbls>
          <c:dLblPos val="outEnd"/>
          <c:showLegendKey val="0"/>
          <c:showVal val="1"/>
          <c:showCatName val="0"/>
          <c:showSerName val="0"/>
          <c:showPercent val="0"/>
          <c:showBubbleSize val="0"/>
        </c:dLbls>
        <c:gapWidth val="182"/>
        <c:axId val="641451071"/>
        <c:axId val="641452511"/>
      </c:barChart>
      <c:catAx>
        <c:axId val="64145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001"/>
          </a:p>
        </c:txPr>
        <c:crossAx val="641452511"/>
        <c:crosses val="autoZero"/>
        <c:auto val="1"/>
        <c:lblAlgn val="ctr"/>
        <c:lblOffset val="100"/>
        <c:noMultiLvlLbl val="0"/>
      </c:catAx>
      <c:valAx>
        <c:axId val="641452511"/>
        <c:scaling>
          <c:orientation val="minMax"/>
        </c:scaling>
        <c:delete val="1"/>
        <c:axPos val="b"/>
        <c:numFmt formatCode="0.0" sourceLinked="1"/>
        <c:majorTickMark val="none"/>
        <c:minorTickMark val="none"/>
        <c:tickLblPos val="nextTo"/>
        <c:crossAx val="64145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Model's average ability to detect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001"/>
        </a:p>
      </c:txPr>
    </c:title>
    <c:autoTitleDeleted val="0"/>
    <c:plotArea>
      <c:layout/>
      <c:barChart>
        <c:barDir val="col"/>
        <c:grouping val="clustered"/>
        <c:varyColors val="0"/>
        <c:ser>
          <c:idx val="0"/>
          <c:order val="0"/>
          <c:tx>
            <c:strRef>
              <c:f>'RQ 2- Topic-wise analysis'!$M$30</c:f>
              <c:strCache>
                <c:ptCount val="1"/>
                <c:pt idx="0">
                  <c:v>BS</c:v>
                </c:pt>
              </c:strCache>
            </c:strRef>
          </c:tx>
          <c:spPr>
            <a:solidFill>
              <a:schemeClr val="accent1"/>
            </a:solidFill>
            <a:ln>
              <a:noFill/>
            </a:ln>
            <a:effectLst/>
          </c:spPr>
          <c:invertIfNegative val="0"/>
          <c:val>
            <c:numRef>
              <c:f>'RQ 2- Topic-wise analysis'!$N$30</c:f>
              <c:numCache>
                <c:formatCode>0.00</c:formatCode>
                <c:ptCount val="1"/>
                <c:pt idx="0">
                  <c:v>83.655555555555551</c:v>
                </c:pt>
              </c:numCache>
            </c:numRef>
          </c:val>
          <c:extLst>
            <c:ext xmlns:c16="http://schemas.microsoft.com/office/drawing/2014/chart" uri="{C3380CC4-5D6E-409C-BE32-E72D297353CC}">
              <c16:uniqueId val="{00000000-AC42-42B9-B9AA-230289265486}"/>
            </c:ext>
          </c:extLst>
        </c:ser>
        <c:ser>
          <c:idx val="1"/>
          <c:order val="1"/>
          <c:tx>
            <c:strRef>
              <c:f>'RQ 2- Topic-wise analysis'!$M$31</c:f>
              <c:strCache>
                <c:ptCount val="1"/>
                <c:pt idx="0">
                  <c:v>CLA</c:v>
                </c:pt>
              </c:strCache>
            </c:strRef>
          </c:tx>
          <c:spPr>
            <a:solidFill>
              <a:schemeClr val="accent2"/>
            </a:solidFill>
            <a:ln>
              <a:noFill/>
            </a:ln>
            <a:effectLst/>
          </c:spPr>
          <c:invertIfNegative val="0"/>
          <c:val>
            <c:numRef>
              <c:f>'RQ 2- Topic-wise analysis'!$N$31</c:f>
              <c:numCache>
                <c:formatCode>0.00</c:formatCode>
                <c:ptCount val="1"/>
                <c:pt idx="0">
                  <c:v>77.188888888888897</c:v>
                </c:pt>
              </c:numCache>
            </c:numRef>
          </c:val>
          <c:extLst>
            <c:ext xmlns:c16="http://schemas.microsoft.com/office/drawing/2014/chart" uri="{C3380CC4-5D6E-409C-BE32-E72D297353CC}">
              <c16:uniqueId val="{00000001-AC42-42B9-B9AA-230289265486}"/>
            </c:ext>
          </c:extLst>
        </c:ser>
        <c:ser>
          <c:idx val="2"/>
          <c:order val="2"/>
          <c:tx>
            <c:strRef>
              <c:f>'RQ 2- Topic-wise analysis'!$M$32</c:f>
              <c:strCache>
                <c:ptCount val="1"/>
                <c:pt idx="0">
                  <c:v>FSM</c:v>
                </c:pt>
              </c:strCache>
            </c:strRef>
          </c:tx>
          <c:spPr>
            <a:solidFill>
              <a:schemeClr val="accent3"/>
            </a:solidFill>
            <a:ln>
              <a:noFill/>
            </a:ln>
            <a:effectLst/>
          </c:spPr>
          <c:invertIfNegative val="0"/>
          <c:val>
            <c:numRef>
              <c:f>'RQ 2- Topic-wise analysis'!$N$32</c:f>
              <c:numCache>
                <c:formatCode>0.00</c:formatCode>
                <c:ptCount val="1"/>
                <c:pt idx="0">
                  <c:v>88.744444444444454</c:v>
                </c:pt>
              </c:numCache>
            </c:numRef>
          </c:val>
          <c:extLst>
            <c:ext xmlns:c16="http://schemas.microsoft.com/office/drawing/2014/chart" uri="{C3380CC4-5D6E-409C-BE32-E72D297353CC}">
              <c16:uniqueId val="{00000002-AC42-42B9-B9AA-230289265486}"/>
            </c:ext>
          </c:extLst>
        </c:ser>
        <c:ser>
          <c:idx val="3"/>
          <c:order val="3"/>
          <c:tx>
            <c:strRef>
              <c:f>'RQ 2- Topic-wise analysis'!$M$33</c:f>
              <c:strCache>
                <c:ptCount val="1"/>
                <c:pt idx="0">
                  <c:v>I2C</c:v>
                </c:pt>
              </c:strCache>
            </c:strRef>
          </c:tx>
          <c:spPr>
            <a:solidFill>
              <a:schemeClr val="accent4"/>
            </a:solidFill>
            <a:ln>
              <a:noFill/>
            </a:ln>
            <a:effectLst/>
          </c:spPr>
          <c:invertIfNegative val="0"/>
          <c:val>
            <c:numRef>
              <c:f>'RQ 2- Topic-wise analysis'!$N$33</c:f>
              <c:numCache>
                <c:formatCode>0.00</c:formatCode>
                <c:ptCount val="1"/>
                <c:pt idx="0">
                  <c:v>78.424999999999997</c:v>
                </c:pt>
              </c:numCache>
            </c:numRef>
          </c:val>
          <c:extLst>
            <c:ext xmlns:c16="http://schemas.microsoft.com/office/drawing/2014/chart" uri="{C3380CC4-5D6E-409C-BE32-E72D297353CC}">
              <c16:uniqueId val="{00000003-AC42-42B9-B9AA-230289265486}"/>
            </c:ext>
          </c:extLst>
        </c:ser>
        <c:ser>
          <c:idx val="4"/>
          <c:order val="4"/>
          <c:tx>
            <c:strRef>
              <c:f>'RQ 2- Topic-wise analysis'!$M$34</c:f>
              <c:strCache>
                <c:ptCount val="1"/>
                <c:pt idx="0">
                  <c:v>MPI</c:v>
                </c:pt>
              </c:strCache>
            </c:strRef>
          </c:tx>
          <c:spPr>
            <a:solidFill>
              <a:schemeClr val="accent5"/>
            </a:solidFill>
            <a:ln>
              <a:noFill/>
            </a:ln>
            <a:effectLst/>
          </c:spPr>
          <c:invertIfNegative val="0"/>
          <c:val>
            <c:numRef>
              <c:f>'RQ 2- Topic-wise analysis'!$N$34</c:f>
              <c:numCache>
                <c:formatCode>0.00</c:formatCode>
                <c:ptCount val="1"/>
                <c:pt idx="0">
                  <c:v>90.742500000000007</c:v>
                </c:pt>
              </c:numCache>
            </c:numRef>
          </c:val>
          <c:extLst>
            <c:ext xmlns:c16="http://schemas.microsoft.com/office/drawing/2014/chart" uri="{C3380CC4-5D6E-409C-BE32-E72D297353CC}">
              <c16:uniqueId val="{00000004-AC42-42B9-B9AA-230289265486}"/>
            </c:ext>
          </c:extLst>
        </c:ser>
        <c:ser>
          <c:idx val="5"/>
          <c:order val="5"/>
          <c:tx>
            <c:strRef>
              <c:f>'RQ 2- Topic-wise analysis'!$M$35</c:f>
              <c:strCache>
                <c:ptCount val="1"/>
                <c:pt idx="0">
                  <c:v>MR</c:v>
                </c:pt>
              </c:strCache>
            </c:strRef>
          </c:tx>
          <c:spPr>
            <a:solidFill>
              <a:schemeClr val="accent6"/>
            </a:solidFill>
            <a:ln>
              <a:noFill/>
            </a:ln>
            <a:effectLst/>
          </c:spPr>
          <c:invertIfNegative val="0"/>
          <c:val>
            <c:numRef>
              <c:f>'RQ 2- Topic-wise analysis'!$N$35</c:f>
              <c:numCache>
                <c:formatCode>0.00</c:formatCode>
                <c:ptCount val="1"/>
                <c:pt idx="0">
                  <c:v>91.62</c:v>
                </c:pt>
              </c:numCache>
            </c:numRef>
          </c:val>
          <c:extLst>
            <c:ext xmlns:c16="http://schemas.microsoft.com/office/drawing/2014/chart" uri="{C3380CC4-5D6E-409C-BE32-E72D297353CC}">
              <c16:uniqueId val="{00000005-AC42-42B9-B9AA-230289265486}"/>
            </c:ext>
          </c:extLst>
        </c:ser>
        <c:ser>
          <c:idx val="6"/>
          <c:order val="6"/>
          <c:tx>
            <c:strRef>
              <c:f>'RQ 2- Topic-wise analysis'!$M$36</c:f>
              <c:strCache>
                <c:ptCount val="1"/>
                <c:pt idx="0">
                  <c:v>OOP</c:v>
                </c:pt>
              </c:strCache>
            </c:strRef>
          </c:tx>
          <c:spPr>
            <a:solidFill>
              <a:schemeClr val="accent1">
                <a:lumMod val="60000"/>
              </a:schemeClr>
            </a:solidFill>
            <a:ln>
              <a:noFill/>
            </a:ln>
            <a:effectLst/>
          </c:spPr>
          <c:invertIfNegative val="0"/>
          <c:val>
            <c:numRef>
              <c:f>'RQ 2- Topic-wise analysis'!$N$36</c:f>
              <c:numCache>
                <c:formatCode>0.00</c:formatCode>
                <c:ptCount val="1"/>
                <c:pt idx="0">
                  <c:v>85.495000000000005</c:v>
                </c:pt>
              </c:numCache>
            </c:numRef>
          </c:val>
          <c:extLst>
            <c:ext xmlns:c16="http://schemas.microsoft.com/office/drawing/2014/chart" uri="{C3380CC4-5D6E-409C-BE32-E72D297353CC}">
              <c16:uniqueId val="{00000006-AC42-42B9-B9AA-230289265486}"/>
            </c:ext>
          </c:extLst>
        </c:ser>
        <c:ser>
          <c:idx val="7"/>
          <c:order val="7"/>
          <c:tx>
            <c:strRef>
              <c:f>'RQ 2- Topic-wise analysis'!$M$37</c:f>
              <c:strCache>
                <c:ptCount val="1"/>
                <c:pt idx="0">
                  <c:v>PI</c:v>
                </c:pt>
              </c:strCache>
            </c:strRef>
          </c:tx>
          <c:spPr>
            <a:solidFill>
              <a:schemeClr val="accent2">
                <a:lumMod val="60000"/>
              </a:schemeClr>
            </a:solidFill>
            <a:ln>
              <a:noFill/>
            </a:ln>
            <a:effectLst/>
          </c:spPr>
          <c:invertIfNegative val="0"/>
          <c:val>
            <c:numRef>
              <c:f>'RQ 2- Topic-wise analysis'!$N$37</c:f>
              <c:numCache>
                <c:formatCode>0.00</c:formatCode>
                <c:ptCount val="1"/>
                <c:pt idx="0">
                  <c:v>82.765000000000001</c:v>
                </c:pt>
              </c:numCache>
            </c:numRef>
          </c:val>
          <c:extLst>
            <c:ext xmlns:c16="http://schemas.microsoft.com/office/drawing/2014/chart" uri="{C3380CC4-5D6E-409C-BE32-E72D297353CC}">
              <c16:uniqueId val="{00000007-AC42-42B9-B9AA-230289265486}"/>
            </c:ext>
          </c:extLst>
        </c:ser>
        <c:ser>
          <c:idx val="8"/>
          <c:order val="8"/>
          <c:tx>
            <c:strRef>
              <c:f>'RQ 2- Topic-wise analysis'!$M$38</c:f>
              <c:strCache>
                <c:ptCount val="1"/>
                <c:pt idx="0">
                  <c:v>RM</c:v>
                </c:pt>
              </c:strCache>
            </c:strRef>
          </c:tx>
          <c:spPr>
            <a:solidFill>
              <a:schemeClr val="accent3">
                <a:lumMod val="60000"/>
              </a:schemeClr>
            </a:solidFill>
            <a:ln>
              <a:noFill/>
            </a:ln>
            <a:effectLst/>
          </c:spPr>
          <c:invertIfNegative val="0"/>
          <c:val>
            <c:numRef>
              <c:f>'RQ 2- Topic-wise analysis'!$N$38</c:f>
              <c:numCache>
                <c:formatCode>0.00</c:formatCode>
                <c:ptCount val="1"/>
                <c:pt idx="0">
                  <c:v>82.89500000000001</c:v>
                </c:pt>
              </c:numCache>
            </c:numRef>
          </c:val>
          <c:extLst>
            <c:ext xmlns:c16="http://schemas.microsoft.com/office/drawing/2014/chart" uri="{C3380CC4-5D6E-409C-BE32-E72D297353CC}">
              <c16:uniqueId val="{00000008-AC42-42B9-B9AA-230289265486}"/>
            </c:ext>
          </c:extLst>
        </c:ser>
        <c:ser>
          <c:idx val="9"/>
          <c:order val="9"/>
          <c:tx>
            <c:strRef>
              <c:f>'RQ 2- Topic-wise analysis'!$M$39</c:f>
              <c:strCache>
                <c:ptCount val="1"/>
                <c:pt idx="0">
                  <c:v>SA</c:v>
                </c:pt>
              </c:strCache>
            </c:strRef>
          </c:tx>
          <c:spPr>
            <a:solidFill>
              <a:schemeClr val="accent4">
                <a:lumMod val="60000"/>
              </a:schemeClr>
            </a:solidFill>
            <a:ln>
              <a:noFill/>
            </a:ln>
            <a:effectLst/>
          </c:spPr>
          <c:invertIfNegative val="0"/>
          <c:val>
            <c:numRef>
              <c:f>'RQ 2- Topic-wise analysis'!$N$39</c:f>
              <c:numCache>
                <c:formatCode>0.00</c:formatCode>
                <c:ptCount val="1"/>
                <c:pt idx="0">
                  <c:v>82.025000000000006</c:v>
                </c:pt>
              </c:numCache>
            </c:numRef>
          </c:val>
          <c:extLst>
            <c:ext xmlns:c16="http://schemas.microsoft.com/office/drawing/2014/chart" uri="{C3380CC4-5D6E-409C-BE32-E72D297353CC}">
              <c16:uniqueId val="{00000009-AC42-42B9-B9AA-230289265486}"/>
            </c:ext>
          </c:extLst>
        </c:ser>
        <c:dLbls>
          <c:showLegendKey val="0"/>
          <c:showVal val="0"/>
          <c:showCatName val="0"/>
          <c:showSerName val="0"/>
          <c:showPercent val="0"/>
          <c:showBubbleSize val="0"/>
        </c:dLbls>
        <c:gapWidth val="219"/>
        <c:overlap val="-27"/>
        <c:axId val="630009743"/>
        <c:axId val="630009263"/>
      </c:barChart>
      <c:catAx>
        <c:axId val="630009743"/>
        <c:scaling>
          <c:orientation val="minMax"/>
        </c:scaling>
        <c:delete val="1"/>
        <c:axPos val="b"/>
        <c:numFmt formatCode="General" sourceLinked="1"/>
        <c:majorTickMark val="none"/>
        <c:minorTickMark val="none"/>
        <c:tickLblPos val="nextTo"/>
        <c:crossAx val="630009263"/>
        <c:crosses val="autoZero"/>
        <c:auto val="1"/>
        <c:lblAlgn val="ctr"/>
        <c:lblOffset val="100"/>
        <c:noMultiLvlLbl val="0"/>
      </c:catAx>
      <c:valAx>
        <c:axId val="630009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p>
            </c:rich>
          </c:tx>
          <c:layout>
            <c:manualLayout>
              <c:xMode val="edge"/>
              <c:yMode val="edge"/>
              <c:x val="1.9444444444444445E-2"/>
              <c:y val="0.3919211140274132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001"/>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crossAx val="630009743"/>
        <c:crosses val="autoZero"/>
        <c:crossBetween val="between"/>
      </c:valAx>
      <c:spPr>
        <a:noFill/>
        <a:ln>
          <a:noFill/>
        </a:ln>
        <a:effectLst/>
      </c:spPr>
    </c:plotArea>
    <c:legend>
      <c:legendPos val="b"/>
      <c:layout>
        <c:manualLayout>
          <c:xMode val="edge"/>
          <c:yMode val="edge"/>
          <c:x val="0.18295144356955381"/>
          <c:y val="0.8616892680081657"/>
          <c:w val="0.7396526684164480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001"/>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2- Topic-wise analysis'!$B$3:$B$12</c:f>
              <c:strCache>
                <c:ptCount val="10"/>
                <c:pt idx="0">
                  <c:v>CLA</c:v>
                </c:pt>
                <c:pt idx="1">
                  <c:v>I2C</c:v>
                </c:pt>
                <c:pt idx="2">
                  <c:v>SA</c:v>
                </c:pt>
                <c:pt idx="3">
                  <c:v>PI</c:v>
                </c:pt>
                <c:pt idx="4">
                  <c:v>RM</c:v>
                </c:pt>
                <c:pt idx="5">
                  <c:v>BS</c:v>
                </c:pt>
                <c:pt idx="6">
                  <c:v>OOP</c:v>
                </c:pt>
                <c:pt idx="7">
                  <c:v>FSM</c:v>
                </c:pt>
                <c:pt idx="8">
                  <c:v>MPI</c:v>
                </c:pt>
                <c:pt idx="9">
                  <c:v>MR</c:v>
                </c:pt>
              </c:strCache>
            </c:strRef>
          </c:cat>
          <c:val>
            <c:numRef>
              <c:f>'RQ 2- Topic-wise analysis'!$C$3:$C$12</c:f>
              <c:numCache>
                <c:formatCode>0.0</c:formatCode>
                <c:ptCount val="10"/>
                <c:pt idx="0">
                  <c:v>77.188888888888897</c:v>
                </c:pt>
                <c:pt idx="1">
                  <c:v>78.424999999999997</c:v>
                </c:pt>
                <c:pt idx="2">
                  <c:v>82.025000000000006</c:v>
                </c:pt>
                <c:pt idx="3">
                  <c:v>82.765000000000001</c:v>
                </c:pt>
                <c:pt idx="4">
                  <c:v>82.89500000000001</c:v>
                </c:pt>
                <c:pt idx="5">
                  <c:v>83.655555555555551</c:v>
                </c:pt>
                <c:pt idx="6">
                  <c:v>85.495000000000005</c:v>
                </c:pt>
                <c:pt idx="7">
                  <c:v>88.744444444444454</c:v>
                </c:pt>
                <c:pt idx="8">
                  <c:v>90.742500000000007</c:v>
                </c:pt>
                <c:pt idx="9">
                  <c:v>91.62</c:v>
                </c:pt>
              </c:numCache>
            </c:numRef>
          </c:val>
          <c:extLst>
            <c:ext xmlns:c16="http://schemas.microsoft.com/office/drawing/2014/chart" uri="{C3380CC4-5D6E-409C-BE32-E72D297353CC}">
              <c16:uniqueId val="{00000000-7414-47D5-898D-2357206A1878}"/>
            </c:ext>
          </c:extLst>
        </c:ser>
        <c:dLbls>
          <c:showLegendKey val="0"/>
          <c:showVal val="0"/>
          <c:showCatName val="0"/>
          <c:showSerName val="0"/>
          <c:showPercent val="0"/>
          <c:showBubbleSize val="0"/>
        </c:dLbls>
        <c:gapWidth val="182"/>
        <c:axId val="805520335"/>
        <c:axId val="805519375"/>
      </c:barChart>
      <c:catAx>
        <c:axId val="80552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001"/>
          </a:p>
        </c:txPr>
        <c:crossAx val="805519375"/>
        <c:crosses val="autoZero"/>
        <c:auto val="1"/>
        <c:lblAlgn val="ctr"/>
        <c:lblOffset val="100"/>
        <c:noMultiLvlLbl val="0"/>
      </c:catAx>
      <c:valAx>
        <c:axId val="805519375"/>
        <c:scaling>
          <c:orientation val="minMax"/>
        </c:scaling>
        <c:delete val="1"/>
        <c:axPos val="b"/>
        <c:numFmt formatCode="0.0" sourceLinked="1"/>
        <c:majorTickMark val="none"/>
        <c:minorTickMark val="none"/>
        <c:tickLblPos val="nextTo"/>
        <c:crossAx val="805520335"/>
        <c:crosses val="autoZero"/>
        <c:crossBetween val="between"/>
      </c:val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001"/>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2- Topic-wise analysis'!$B$17:$B$26</c:f>
              <c:strCache>
                <c:ptCount val="10"/>
                <c:pt idx="0">
                  <c:v>CLA</c:v>
                </c:pt>
                <c:pt idx="1">
                  <c:v>I2C</c:v>
                </c:pt>
                <c:pt idx="2">
                  <c:v>SA</c:v>
                </c:pt>
                <c:pt idx="3">
                  <c:v>PI</c:v>
                </c:pt>
                <c:pt idx="4">
                  <c:v>RM</c:v>
                </c:pt>
                <c:pt idx="5">
                  <c:v>BS</c:v>
                </c:pt>
                <c:pt idx="6">
                  <c:v>OOP</c:v>
                </c:pt>
                <c:pt idx="7">
                  <c:v>FSM</c:v>
                </c:pt>
                <c:pt idx="8">
                  <c:v>MPI</c:v>
                </c:pt>
                <c:pt idx="9">
                  <c:v>MR</c:v>
                </c:pt>
              </c:strCache>
            </c:strRef>
          </c:cat>
          <c:val>
            <c:numRef>
              <c:f>'RQ 2- Topic-wise analysis'!$C$17:$C$26</c:f>
              <c:numCache>
                <c:formatCode>0.0%</c:formatCode>
                <c:ptCount val="10"/>
                <c:pt idx="0">
                  <c:v>0.77188888888888896</c:v>
                </c:pt>
                <c:pt idx="1">
                  <c:v>0.78425</c:v>
                </c:pt>
                <c:pt idx="2">
                  <c:v>0.82025000000000003</c:v>
                </c:pt>
                <c:pt idx="3">
                  <c:v>0.82765</c:v>
                </c:pt>
                <c:pt idx="4">
                  <c:v>0.82895000000000008</c:v>
                </c:pt>
                <c:pt idx="5">
                  <c:v>0.8365555555555555</c:v>
                </c:pt>
                <c:pt idx="6">
                  <c:v>0.8549500000000001</c:v>
                </c:pt>
                <c:pt idx="7">
                  <c:v>0.88744444444444459</c:v>
                </c:pt>
                <c:pt idx="8">
                  <c:v>0.90742500000000004</c:v>
                </c:pt>
                <c:pt idx="9">
                  <c:v>0.91620000000000001</c:v>
                </c:pt>
              </c:numCache>
            </c:numRef>
          </c:val>
          <c:extLst>
            <c:ext xmlns:c16="http://schemas.microsoft.com/office/drawing/2014/chart" uri="{C3380CC4-5D6E-409C-BE32-E72D297353CC}">
              <c16:uniqueId val="{00000000-69D4-41A9-953D-97CA13F3AC95}"/>
            </c:ext>
          </c:extLst>
        </c:ser>
        <c:dLbls>
          <c:dLblPos val="outEnd"/>
          <c:showLegendKey val="0"/>
          <c:showVal val="1"/>
          <c:showCatName val="0"/>
          <c:showSerName val="0"/>
          <c:showPercent val="0"/>
          <c:showBubbleSize val="0"/>
        </c:dLbls>
        <c:gapWidth val="182"/>
        <c:axId val="516175088"/>
        <c:axId val="516172208"/>
      </c:barChart>
      <c:catAx>
        <c:axId val="51617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001"/>
          </a:p>
        </c:txPr>
        <c:crossAx val="516172208"/>
        <c:crosses val="autoZero"/>
        <c:auto val="1"/>
        <c:lblAlgn val="ctr"/>
        <c:lblOffset val="100"/>
        <c:noMultiLvlLbl val="0"/>
      </c:catAx>
      <c:valAx>
        <c:axId val="516172208"/>
        <c:scaling>
          <c:orientation val="minMax"/>
        </c:scaling>
        <c:delete val="1"/>
        <c:axPos val="b"/>
        <c:numFmt formatCode="0.0%" sourceLinked="1"/>
        <c:majorTickMark val="none"/>
        <c:minorTickMark val="none"/>
        <c:tickLblPos val="nextTo"/>
        <c:crossAx val="516175088"/>
        <c:crosses val="autoZero"/>
        <c:crossBetween val="between"/>
      </c:val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001"/>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6712546222745023"/>
          <c:y val="9.2310302500439256E-2"/>
          <c:w val="0.81216087641388501"/>
          <c:h val="0.87957361773844878"/>
        </c:manualLayout>
      </c:layout>
      <c:barChart>
        <c:barDir val="bar"/>
        <c:grouping val="clustered"/>
        <c:varyColors val="0"/>
        <c:ser>
          <c:idx val="0"/>
          <c:order val="0"/>
          <c:tx>
            <c:strRef>
              <c:f>'RQ 1- part A and B. All models'!$B$1</c:f>
              <c:strCache>
                <c:ptCount val="1"/>
                <c:pt idx="0">
                  <c:v>Ability to detect (RQ 1-B)</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1- part A and B. All models'!$A$2:$A$11</c:f>
              <c:strCache>
                <c:ptCount val="10"/>
                <c:pt idx="0">
                  <c:v>Falcon-H1-3B-Instruct</c:v>
                </c:pt>
                <c:pt idx="1">
                  <c:v>Claude Sonnet 4</c:v>
                </c:pt>
                <c:pt idx="2">
                  <c:v>Mistral Le Chat</c:v>
                </c:pt>
                <c:pt idx="3">
                  <c:v>Llama-4-Scout-nitro</c:v>
                </c:pt>
                <c:pt idx="4">
                  <c:v>Perplexity</c:v>
                </c:pt>
                <c:pt idx="5">
                  <c:v>Grok-3</c:v>
                </c:pt>
                <c:pt idx="6">
                  <c:v>ChatGPT-4o</c:v>
                </c:pt>
                <c:pt idx="7">
                  <c:v>Gemini 2.5 Pro</c:v>
                </c:pt>
                <c:pt idx="8">
                  <c:v>Qwen3-235b-a22b</c:v>
                </c:pt>
                <c:pt idx="9">
                  <c:v>DeepSeek V3</c:v>
                </c:pt>
              </c:strCache>
            </c:strRef>
          </c:cat>
          <c:val>
            <c:numRef>
              <c:f>'RQ 1- part A and B. All models'!$B$2:$B$11</c:f>
              <c:numCache>
                <c:formatCode>0.0</c:formatCode>
                <c:ptCount val="10"/>
                <c:pt idx="0">
                  <c:v>33.094999999999999</c:v>
                </c:pt>
                <c:pt idx="1">
                  <c:v>79.669999999999987</c:v>
                </c:pt>
                <c:pt idx="2">
                  <c:v>81.575000000000003</c:v>
                </c:pt>
                <c:pt idx="3">
                  <c:v>83.44</c:v>
                </c:pt>
                <c:pt idx="4">
                  <c:v>89.53</c:v>
                </c:pt>
                <c:pt idx="5">
                  <c:v>92.275000000000006</c:v>
                </c:pt>
                <c:pt idx="6">
                  <c:v>94.534999999999997</c:v>
                </c:pt>
                <c:pt idx="7">
                  <c:v>95.03</c:v>
                </c:pt>
                <c:pt idx="8">
                  <c:v>95.474999999999994</c:v>
                </c:pt>
                <c:pt idx="9">
                  <c:v>98.445000000000007</c:v>
                </c:pt>
              </c:numCache>
            </c:numRef>
          </c:val>
          <c:extLst>
            <c:ext xmlns:c16="http://schemas.microsoft.com/office/drawing/2014/chart" uri="{C3380CC4-5D6E-409C-BE32-E72D297353CC}">
              <c16:uniqueId val="{00000000-8F3C-49A9-9705-B96D5FA674BF}"/>
            </c:ext>
          </c:extLst>
        </c:ser>
        <c:dLbls>
          <c:dLblPos val="outEnd"/>
          <c:showLegendKey val="0"/>
          <c:showVal val="1"/>
          <c:showCatName val="0"/>
          <c:showSerName val="0"/>
          <c:showPercent val="0"/>
          <c:showBubbleSize val="0"/>
        </c:dLbls>
        <c:gapWidth val="182"/>
        <c:axId val="579529104"/>
        <c:axId val="579525264"/>
      </c:barChart>
      <c:catAx>
        <c:axId val="57952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579525264"/>
        <c:crosses val="autoZero"/>
        <c:auto val="1"/>
        <c:lblAlgn val="ctr"/>
        <c:lblOffset val="100"/>
        <c:noMultiLvlLbl val="0"/>
      </c:catAx>
      <c:valAx>
        <c:axId val="579525264"/>
        <c:scaling>
          <c:orientation val="minMax"/>
        </c:scaling>
        <c:delete val="1"/>
        <c:axPos val="b"/>
        <c:numFmt formatCode="0.0" sourceLinked="1"/>
        <c:majorTickMark val="none"/>
        <c:minorTickMark val="none"/>
        <c:tickLblPos val="nextTo"/>
        <c:crossAx val="579529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'RQ 1- part A and B. All models'!$B$21</c:f>
              <c:strCache>
                <c:ptCount val="1"/>
                <c:pt idx="0">
                  <c:v>Ability to be detected (RQ1-B)</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1- part A and B. All models'!$A$22:$A$31</c:f>
              <c:strCache>
                <c:ptCount val="10"/>
                <c:pt idx="0">
                  <c:v>Gemini 2.5 Pro</c:v>
                </c:pt>
                <c:pt idx="1">
                  <c:v>Grok-3</c:v>
                </c:pt>
                <c:pt idx="2">
                  <c:v>ChatGPT-4o</c:v>
                </c:pt>
                <c:pt idx="3">
                  <c:v>Perplexity</c:v>
                </c:pt>
                <c:pt idx="4">
                  <c:v>Qwen3-235b-a22b</c:v>
                </c:pt>
                <c:pt idx="5">
                  <c:v>Claude Sonnet 4</c:v>
                </c:pt>
                <c:pt idx="6">
                  <c:v>Mistral Le Chat</c:v>
                </c:pt>
                <c:pt idx="7">
                  <c:v>Falcon-H1-3B-Instruct</c:v>
                </c:pt>
                <c:pt idx="8">
                  <c:v>Llama-4-Scout-nitro</c:v>
                </c:pt>
                <c:pt idx="9">
                  <c:v>DeepSeek V3</c:v>
                </c:pt>
              </c:strCache>
            </c:strRef>
          </c:cat>
          <c:val>
            <c:numRef>
              <c:f>'RQ 1- part A and B. All models'!$B$22:$B$31</c:f>
              <c:numCache>
                <c:formatCode>0.0</c:formatCode>
                <c:ptCount val="10"/>
                <c:pt idx="0">
                  <c:v>79.95</c:v>
                </c:pt>
                <c:pt idx="1">
                  <c:v>81.12222222222222</c:v>
                </c:pt>
                <c:pt idx="2">
                  <c:v>82.711111111111123</c:v>
                </c:pt>
                <c:pt idx="3">
                  <c:v>83.288888888888891</c:v>
                </c:pt>
                <c:pt idx="4">
                  <c:v>83.672222222222231</c:v>
                </c:pt>
                <c:pt idx="5">
                  <c:v>84.394444444444446</c:v>
                </c:pt>
                <c:pt idx="6">
                  <c:v>87.011111111111106</c:v>
                </c:pt>
                <c:pt idx="7">
                  <c:v>87.166666666666657</c:v>
                </c:pt>
                <c:pt idx="8">
                  <c:v>87.977777777777774</c:v>
                </c:pt>
                <c:pt idx="9">
                  <c:v>88.811111111111117</c:v>
                </c:pt>
              </c:numCache>
            </c:numRef>
          </c:val>
          <c:extLst>
            <c:ext xmlns:c16="http://schemas.microsoft.com/office/drawing/2014/chart" uri="{C3380CC4-5D6E-409C-BE32-E72D297353CC}">
              <c16:uniqueId val="{00000000-2CD5-4045-B5C1-149EF1322CE5}"/>
            </c:ext>
          </c:extLst>
        </c:ser>
        <c:dLbls>
          <c:dLblPos val="outEnd"/>
          <c:showLegendKey val="0"/>
          <c:showVal val="1"/>
          <c:showCatName val="0"/>
          <c:showSerName val="0"/>
          <c:showPercent val="0"/>
          <c:showBubbleSize val="0"/>
        </c:dLbls>
        <c:gapWidth val="182"/>
        <c:axId val="1671643632"/>
        <c:axId val="1671642192"/>
      </c:barChart>
      <c:catAx>
        <c:axId val="167164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ysClr val="windowText" lastClr="000000"/>
                </a:solidFill>
                <a:latin typeface="+mn-lt"/>
                <a:ea typeface="+mn-ea"/>
                <a:cs typeface="+mn-cs"/>
              </a:defRPr>
            </a:pPr>
            <a:endParaRPr lang="en-US"/>
          </a:p>
        </c:txPr>
        <c:crossAx val="1671642192"/>
        <c:crosses val="autoZero"/>
        <c:auto val="1"/>
        <c:lblAlgn val="ctr"/>
        <c:lblOffset val="100"/>
        <c:noMultiLvlLbl val="0"/>
      </c:catAx>
      <c:valAx>
        <c:axId val="1671642192"/>
        <c:scaling>
          <c:orientation val="minMax"/>
        </c:scaling>
        <c:delete val="1"/>
        <c:axPos val="b"/>
        <c:numFmt formatCode="0.0" sourceLinked="1"/>
        <c:majorTickMark val="none"/>
        <c:minorTickMark val="none"/>
        <c:tickLblPos val="nextTo"/>
        <c:crossAx val="1671643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ysClr val="windowText" lastClr="000000"/>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1- part A and B. All models'!$X$5:$X$14</c:f>
              <c:strCache>
                <c:ptCount val="10"/>
                <c:pt idx="0">
                  <c:v>Falcon-H1-3B-Instruct</c:v>
                </c:pt>
                <c:pt idx="1">
                  <c:v>Claude Sonnet 4</c:v>
                </c:pt>
                <c:pt idx="2">
                  <c:v>Mistral Le Chat</c:v>
                </c:pt>
                <c:pt idx="3">
                  <c:v>Llama-4-Scout-CS</c:v>
                </c:pt>
                <c:pt idx="4">
                  <c:v>Perplexity</c:v>
                </c:pt>
                <c:pt idx="5">
                  <c:v>Grok-3</c:v>
                </c:pt>
                <c:pt idx="6">
                  <c:v>ChatGPT-4o</c:v>
                </c:pt>
                <c:pt idx="7">
                  <c:v>Gemini 2.5 Pro</c:v>
                </c:pt>
                <c:pt idx="8">
                  <c:v>Qwen3-235b-a22b</c:v>
                </c:pt>
                <c:pt idx="9">
                  <c:v>DeepSeek V3</c:v>
                </c:pt>
              </c:strCache>
            </c:strRef>
          </c:cat>
          <c:val>
            <c:numRef>
              <c:f>'RQ 1- part A and B. All models'!$Y$5:$Y$14</c:f>
              <c:numCache>
                <c:formatCode>0.0%</c:formatCode>
                <c:ptCount val="10"/>
                <c:pt idx="0">
                  <c:v>0.33094999999999997</c:v>
                </c:pt>
                <c:pt idx="1">
                  <c:v>0.79669999999999985</c:v>
                </c:pt>
                <c:pt idx="2">
                  <c:v>0.81574999999999998</c:v>
                </c:pt>
                <c:pt idx="3">
                  <c:v>0.83440000000000003</c:v>
                </c:pt>
                <c:pt idx="4">
                  <c:v>0.89529999999999998</c:v>
                </c:pt>
                <c:pt idx="5">
                  <c:v>0.92275000000000007</c:v>
                </c:pt>
                <c:pt idx="6">
                  <c:v>0.94534999999999991</c:v>
                </c:pt>
                <c:pt idx="7">
                  <c:v>0.95030000000000003</c:v>
                </c:pt>
                <c:pt idx="8">
                  <c:v>0.95474999999999999</c:v>
                </c:pt>
                <c:pt idx="9">
                  <c:v>0.98445000000000005</c:v>
                </c:pt>
              </c:numCache>
            </c:numRef>
          </c:val>
          <c:extLst>
            <c:ext xmlns:c16="http://schemas.microsoft.com/office/drawing/2014/chart" uri="{C3380CC4-5D6E-409C-BE32-E72D297353CC}">
              <c16:uniqueId val="{00000000-73BE-479F-A769-A32C444A38CB}"/>
            </c:ext>
          </c:extLst>
        </c:ser>
        <c:dLbls>
          <c:dLblPos val="outEnd"/>
          <c:showLegendKey val="0"/>
          <c:showVal val="1"/>
          <c:showCatName val="0"/>
          <c:showSerName val="0"/>
          <c:showPercent val="0"/>
          <c:showBubbleSize val="0"/>
        </c:dLbls>
        <c:gapWidth val="182"/>
        <c:axId val="2032043552"/>
        <c:axId val="2032060352"/>
      </c:barChart>
      <c:catAx>
        <c:axId val="203204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000" b="1" i="0" u="none" strike="noStrike" kern="1200" baseline="0">
                <a:solidFill>
                  <a:sysClr val="windowText" lastClr="000000"/>
                </a:solidFill>
                <a:latin typeface="+mn-lt"/>
                <a:ea typeface="+mn-ea"/>
                <a:cs typeface="+mn-cs"/>
              </a:defRPr>
            </a:pPr>
            <a:endParaRPr lang="en-001"/>
          </a:p>
        </c:txPr>
        <c:crossAx val="2032060352"/>
        <c:crosses val="autoZero"/>
        <c:auto val="1"/>
        <c:lblAlgn val="ctr"/>
        <c:lblOffset val="100"/>
        <c:noMultiLvlLbl val="0"/>
      </c:catAx>
      <c:valAx>
        <c:axId val="2032060352"/>
        <c:scaling>
          <c:orientation val="minMax"/>
        </c:scaling>
        <c:delete val="1"/>
        <c:axPos val="b"/>
        <c:numFmt formatCode="0.0%" sourceLinked="1"/>
        <c:majorTickMark val="none"/>
        <c:minorTickMark val="none"/>
        <c:tickLblPos val="nextTo"/>
        <c:crossAx val="2032043552"/>
        <c:crosses val="autoZero"/>
        <c:crossBetween val="between"/>
      </c:val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001"/>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000" b="1" i="0" u="none" strike="noStrike" kern="1200" baseline="0">
                    <a:solidFill>
                      <a:sysClr val="windowText" lastClr="000000"/>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 1- part A and B. All models'!$X$31:$X$40</c:f>
              <c:strCache>
                <c:ptCount val="10"/>
                <c:pt idx="0">
                  <c:v>Gemini 2.5 Pro</c:v>
                </c:pt>
                <c:pt idx="1">
                  <c:v>Grok-3</c:v>
                </c:pt>
                <c:pt idx="2">
                  <c:v>ChatGPT-4o</c:v>
                </c:pt>
                <c:pt idx="3">
                  <c:v>Perplexity</c:v>
                </c:pt>
                <c:pt idx="4">
                  <c:v>Qwen3-235b-a22b</c:v>
                </c:pt>
                <c:pt idx="5">
                  <c:v>Claude Sonnet 4</c:v>
                </c:pt>
                <c:pt idx="6">
                  <c:v>Mistral Le Chat</c:v>
                </c:pt>
                <c:pt idx="7">
                  <c:v>Falcon-H1-3B-Instruct</c:v>
                </c:pt>
                <c:pt idx="8">
                  <c:v>Llama-4-Scout-CS</c:v>
                </c:pt>
                <c:pt idx="9">
                  <c:v>DeepSeek V3</c:v>
                </c:pt>
              </c:strCache>
            </c:strRef>
          </c:cat>
          <c:val>
            <c:numRef>
              <c:f>'RQ 1- part A and B. All models'!$Y$31:$Y$40</c:f>
              <c:numCache>
                <c:formatCode>0.0%</c:formatCode>
                <c:ptCount val="10"/>
                <c:pt idx="0">
                  <c:v>0.79949999999999999</c:v>
                </c:pt>
                <c:pt idx="1">
                  <c:v>0.81122222222222218</c:v>
                </c:pt>
                <c:pt idx="2">
                  <c:v>0.82711111111111124</c:v>
                </c:pt>
                <c:pt idx="3">
                  <c:v>0.8328888888888889</c:v>
                </c:pt>
                <c:pt idx="4">
                  <c:v>0.83672222222222237</c:v>
                </c:pt>
                <c:pt idx="5">
                  <c:v>0.8439444444444445</c:v>
                </c:pt>
                <c:pt idx="6">
                  <c:v>0.87011111111111106</c:v>
                </c:pt>
                <c:pt idx="7">
                  <c:v>0.87166666666666659</c:v>
                </c:pt>
                <c:pt idx="8">
                  <c:v>0.87977777777777777</c:v>
                </c:pt>
                <c:pt idx="9">
                  <c:v>0.88811111111111118</c:v>
                </c:pt>
              </c:numCache>
            </c:numRef>
          </c:val>
          <c:extLst>
            <c:ext xmlns:c16="http://schemas.microsoft.com/office/drawing/2014/chart" uri="{C3380CC4-5D6E-409C-BE32-E72D297353CC}">
              <c16:uniqueId val="{00000000-5017-43ED-A61D-C4C2BE66573F}"/>
            </c:ext>
          </c:extLst>
        </c:ser>
        <c:dLbls>
          <c:dLblPos val="outEnd"/>
          <c:showLegendKey val="0"/>
          <c:showVal val="1"/>
          <c:showCatName val="0"/>
          <c:showSerName val="0"/>
          <c:showPercent val="0"/>
          <c:showBubbleSize val="0"/>
        </c:dLbls>
        <c:gapWidth val="182"/>
        <c:axId val="2032171232"/>
        <c:axId val="2032167392"/>
      </c:barChart>
      <c:catAx>
        <c:axId val="203217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000" b="1" i="0" u="none" strike="noStrike" kern="1200" baseline="0">
                <a:solidFill>
                  <a:sysClr val="windowText" lastClr="000000"/>
                </a:solidFill>
                <a:latin typeface="+mn-lt"/>
                <a:ea typeface="+mn-ea"/>
                <a:cs typeface="+mn-cs"/>
              </a:defRPr>
            </a:pPr>
            <a:endParaRPr lang="en-001"/>
          </a:p>
        </c:txPr>
        <c:crossAx val="2032167392"/>
        <c:crosses val="autoZero"/>
        <c:auto val="1"/>
        <c:lblAlgn val="ctr"/>
        <c:lblOffset val="100"/>
        <c:noMultiLvlLbl val="0"/>
      </c:catAx>
      <c:valAx>
        <c:axId val="2032167392"/>
        <c:scaling>
          <c:orientation val="minMax"/>
        </c:scaling>
        <c:delete val="1"/>
        <c:axPos val="b"/>
        <c:numFmt formatCode="0.0%" sourceLinked="1"/>
        <c:majorTickMark val="none"/>
        <c:minorTickMark val="none"/>
        <c:tickLblPos val="nextTo"/>
        <c:crossAx val="2032171232"/>
        <c:crosses val="autoZero"/>
        <c:crossBetween val="between"/>
      </c:val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001"/>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'RQ-1-C -Topic agn anal-2'!$E$176:$E$191</c:f>
              <c:strCache>
                <c:ptCount val="16"/>
                <c:pt idx="0">
                  <c:v>GPT</c:v>
                </c:pt>
                <c:pt idx="1">
                  <c:v>Claude</c:v>
                </c:pt>
                <c:pt idx="2">
                  <c:v>Gemini</c:v>
                </c:pt>
                <c:pt idx="3">
                  <c:v>Llama</c:v>
                </c:pt>
                <c:pt idx="4">
                  <c:v>T5</c:v>
                </c:pt>
                <c:pt idx="5">
                  <c:v>Mistral</c:v>
                </c:pt>
                <c:pt idx="6">
                  <c:v>RoBERTa</c:v>
                </c:pt>
                <c:pt idx="7">
                  <c:v>BART</c:v>
                </c:pt>
                <c:pt idx="8">
                  <c:v>BERT</c:v>
                </c:pt>
                <c:pt idx="9">
                  <c:v>BLOOM</c:v>
                </c:pt>
                <c:pt idx="10">
                  <c:v>GROK</c:v>
                </c:pt>
                <c:pt idx="11">
                  <c:v>LongFormer</c:v>
                </c:pt>
                <c:pt idx="12">
                  <c:v>BARD</c:v>
                </c:pt>
                <c:pt idx="13">
                  <c:v>GitHub Copilot</c:v>
                </c:pt>
                <c:pt idx="14">
                  <c:v>Perplexity</c:v>
                </c:pt>
                <c:pt idx="15">
                  <c:v>PaLM</c:v>
                </c:pt>
              </c:strCache>
            </c:strRef>
          </c:cat>
          <c:val>
            <c:numRef>
              <c:f>'RQ-1-C -Topic agn anal-2'!$F$176:$F$191</c:f>
              <c:numCache>
                <c:formatCode>General</c:formatCode>
                <c:ptCount val="16"/>
                <c:pt idx="0">
                  <c:v>1120</c:v>
                </c:pt>
                <c:pt idx="1">
                  <c:v>202</c:v>
                </c:pt>
                <c:pt idx="2">
                  <c:v>180</c:v>
                </c:pt>
                <c:pt idx="3">
                  <c:v>102</c:v>
                </c:pt>
                <c:pt idx="4">
                  <c:v>35</c:v>
                </c:pt>
                <c:pt idx="5">
                  <c:v>29</c:v>
                </c:pt>
                <c:pt idx="6">
                  <c:v>27</c:v>
                </c:pt>
                <c:pt idx="7">
                  <c:v>26</c:v>
                </c:pt>
                <c:pt idx="8">
                  <c:v>20</c:v>
                </c:pt>
                <c:pt idx="9">
                  <c:v>11</c:v>
                </c:pt>
                <c:pt idx="10">
                  <c:v>10</c:v>
                </c:pt>
                <c:pt idx="11">
                  <c:v>6</c:v>
                </c:pt>
                <c:pt idx="12">
                  <c:v>4</c:v>
                </c:pt>
                <c:pt idx="13">
                  <c:v>3</c:v>
                </c:pt>
                <c:pt idx="14">
                  <c:v>3</c:v>
                </c:pt>
                <c:pt idx="15">
                  <c:v>2</c:v>
                </c:pt>
              </c:numCache>
            </c:numRef>
          </c:val>
          <c:extLst>
            <c:ext xmlns:c16="http://schemas.microsoft.com/office/drawing/2014/chart" uri="{C3380CC4-5D6E-409C-BE32-E72D297353CC}">
              <c16:uniqueId val="{00000000-7F60-487F-BAE4-F4439DC8D672}"/>
            </c:ext>
          </c:extLst>
        </c:ser>
        <c:dLbls>
          <c:dLblPos val="outEnd"/>
          <c:showLegendKey val="0"/>
          <c:showVal val="1"/>
          <c:showCatName val="0"/>
          <c:showSerName val="0"/>
          <c:showPercent val="0"/>
          <c:showBubbleSize val="0"/>
        </c:dLbls>
        <c:gapWidth val="182"/>
        <c:axId val="184929407"/>
        <c:axId val="184932287"/>
      </c:barChart>
      <c:catAx>
        <c:axId val="184929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001"/>
          </a:p>
        </c:txPr>
        <c:crossAx val="184932287"/>
        <c:crosses val="autoZero"/>
        <c:auto val="1"/>
        <c:lblAlgn val="ctr"/>
        <c:lblOffset val="100"/>
        <c:noMultiLvlLbl val="0"/>
      </c:catAx>
      <c:valAx>
        <c:axId val="184932287"/>
        <c:scaling>
          <c:orientation val="minMax"/>
        </c:scaling>
        <c:delete val="1"/>
        <c:axPos val="b"/>
        <c:numFmt formatCode="General" sourceLinked="1"/>
        <c:majorTickMark val="none"/>
        <c:minorTickMark val="none"/>
        <c:tickLblPos val="nextTo"/>
        <c:crossAx val="18492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001"/>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7106169577246688"/>
          <c:y val="3.8647337649367675E-2"/>
          <c:w val="0.81811286444404197"/>
          <c:h val="0.92270532470126465"/>
        </c:manualLayout>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'RQ-1-C -Topic agn anal-2'!$C$106:$C$116</c:f>
              <c:strCache>
                <c:ptCount val="11"/>
                <c:pt idx="0">
                  <c:v>GPT</c:v>
                </c:pt>
                <c:pt idx="1">
                  <c:v>Claude</c:v>
                </c:pt>
                <c:pt idx="2">
                  <c:v>Gemini</c:v>
                </c:pt>
                <c:pt idx="3">
                  <c:v>Llama</c:v>
                </c:pt>
                <c:pt idx="4">
                  <c:v>T5</c:v>
                </c:pt>
                <c:pt idx="5">
                  <c:v>Mistral</c:v>
                </c:pt>
                <c:pt idx="6">
                  <c:v>RoBERTa</c:v>
                </c:pt>
                <c:pt idx="7">
                  <c:v>BART</c:v>
                </c:pt>
                <c:pt idx="8">
                  <c:v>BERT</c:v>
                </c:pt>
                <c:pt idx="9">
                  <c:v>BLOOM</c:v>
                </c:pt>
                <c:pt idx="10">
                  <c:v>GROK</c:v>
                </c:pt>
              </c:strCache>
            </c:strRef>
          </c:cat>
          <c:val>
            <c:numRef>
              <c:f>'RQ-1-C -Topic agn anal-2'!$D$106:$D$116</c:f>
              <c:numCache>
                <c:formatCode>General</c:formatCode>
                <c:ptCount val="11"/>
                <c:pt idx="0">
                  <c:v>1120</c:v>
                </c:pt>
                <c:pt idx="1">
                  <c:v>202</c:v>
                </c:pt>
                <c:pt idx="2">
                  <c:v>180</c:v>
                </c:pt>
                <c:pt idx="3">
                  <c:v>102</c:v>
                </c:pt>
                <c:pt idx="4">
                  <c:v>35</c:v>
                </c:pt>
                <c:pt idx="5">
                  <c:v>29</c:v>
                </c:pt>
                <c:pt idx="6">
                  <c:v>27</c:v>
                </c:pt>
                <c:pt idx="7">
                  <c:v>26</c:v>
                </c:pt>
                <c:pt idx="8">
                  <c:v>20</c:v>
                </c:pt>
                <c:pt idx="9">
                  <c:v>11</c:v>
                </c:pt>
                <c:pt idx="10">
                  <c:v>10</c:v>
                </c:pt>
              </c:numCache>
            </c:numRef>
          </c:val>
          <c:extLst>
            <c:ext xmlns:c16="http://schemas.microsoft.com/office/drawing/2014/chart" uri="{C3380CC4-5D6E-409C-BE32-E72D297353CC}">
              <c16:uniqueId val="{00000000-E900-4162-8CE4-A3D30B5B4E48}"/>
            </c:ext>
          </c:extLst>
        </c:ser>
        <c:dLbls>
          <c:dLblPos val="outEnd"/>
          <c:showLegendKey val="0"/>
          <c:showVal val="1"/>
          <c:showCatName val="0"/>
          <c:showSerName val="0"/>
          <c:showPercent val="0"/>
          <c:showBubbleSize val="0"/>
        </c:dLbls>
        <c:gapWidth val="182"/>
        <c:axId val="646467104"/>
        <c:axId val="646467584"/>
      </c:barChart>
      <c:catAx>
        <c:axId val="646467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001"/>
          </a:p>
        </c:txPr>
        <c:crossAx val="646467584"/>
        <c:crosses val="autoZero"/>
        <c:auto val="1"/>
        <c:lblAlgn val="ctr"/>
        <c:lblOffset val="100"/>
        <c:noMultiLvlLbl val="0"/>
      </c:catAx>
      <c:valAx>
        <c:axId val="646467584"/>
        <c:scaling>
          <c:orientation val="minMax"/>
        </c:scaling>
        <c:delete val="1"/>
        <c:axPos val="b"/>
        <c:numFmt formatCode="General" sourceLinked="1"/>
        <c:majorTickMark val="none"/>
        <c:minorTickMark val="none"/>
        <c:tickLblPos val="nextTo"/>
        <c:crossAx val="646467104"/>
        <c:crosses val="autoZero"/>
        <c:crossBetween val="between"/>
      </c:val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001"/>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32793504876687402"/>
          <c:y val="4.1034920070761004E-2"/>
          <c:w val="0.62891402274298702"/>
          <c:h val="0.91229230110584258"/>
        </c:manualLayout>
      </c:layout>
      <c:barChart>
        <c:barDir val="bar"/>
        <c:grouping val="clustered"/>
        <c:varyColors val="0"/>
        <c:ser>
          <c:idx val="0"/>
          <c:order val="0"/>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001"/>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'RQ-1-D'!$A$43:$A$52</c:f>
              <c:strCache>
                <c:ptCount val="10"/>
                <c:pt idx="0">
                  <c:v>Perplexity</c:v>
                </c:pt>
                <c:pt idx="1">
                  <c:v>DeepSeek V3</c:v>
                </c:pt>
                <c:pt idx="2">
                  <c:v>Qwen3-235b-a22b</c:v>
                </c:pt>
                <c:pt idx="3">
                  <c:v>Falcon-H1-3B-Instruct</c:v>
                </c:pt>
                <c:pt idx="4">
                  <c:v>Grok-3</c:v>
                </c:pt>
                <c:pt idx="5">
                  <c:v>Mistral Le Chat</c:v>
                </c:pt>
                <c:pt idx="6">
                  <c:v>Llama-4-Scout-CS</c:v>
                </c:pt>
                <c:pt idx="7">
                  <c:v>Claude Sonnet 4</c:v>
                </c:pt>
                <c:pt idx="8">
                  <c:v>Gemini 2.5 Pro</c:v>
                </c:pt>
                <c:pt idx="9">
                  <c:v>ChatGPT-4o</c:v>
                </c:pt>
              </c:strCache>
            </c:strRef>
          </c:cat>
          <c:val>
            <c:numRef>
              <c:f>'RQ-1-D'!$B$43:$B$52</c:f>
              <c:numCache>
                <c:formatCode>0%</c:formatCode>
                <c:ptCount val="10"/>
                <c:pt idx="0">
                  <c:v>0</c:v>
                </c:pt>
                <c:pt idx="1">
                  <c:v>0</c:v>
                </c:pt>
                <c:pt idx="2">
                  <c:v>0</c:v>
                </c:pt>
                <c:pt idx="3">
                  <c:v>0</c:v>
                </c:pt>
                <c:pt idx="4">
                  <c:v>0.05</c:v>
                </c:pt>
                <c:pt idx="5">
                  <c:v>0.16665999999999997</c:v>
                </c:pt>
                <c:pt idx="6">
                  <c:v>0.3</c:v>
                </c:pt>
                <c:pt idx="7">
                  <c:v>0.33300000000000002</c:v>
                </c:pt>
                <c:pt idx="8">
                  <c:v>0.4</c:v>
                </c:pt>
                <c:pt idx="9">
                  <c:v>0.74965999999999999</c:v>
                </c:pt>
              </c:numCache>
            </c:numRef>
          </c:val>
          <c:extLst>
            <c:ext xmlns:c16="http://schemas.microsoft.com/office/drawing/2014/chart" uri="{C3380CC4-5D6E-409C-BE32-E72D297353CC}">
              <c16:uniqueId val="{00000000-2E1B-4B4A-A505-63895D39C887}"/>
            </c:ext>
          </c:extLst>
        </c:ser>
        <c:dLbls>
          <c:dLblPos val="outEnd"/>
          <c:showLegendKey val="0"/>
          <c:showVal val="1"/>
          <c:showCatName val="0"/>
          <c:showSerName val="0"/>
          <c:showPercent val="0"/>
          <c:showBubbleSize val="0"/>
        </c:dLbls>
        <c:gapWidth val="182"/>
        <c:axId val="176222527"/>
        <c:axId val="176223007"/>
      </c:barChart>
      <c:catAx>
        <c:axId val="17622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001"/>
          </a:p>
        </c:txPr>
        <c:crossAx val="176223007"/>
        <c:crosses val="autoZero"/>
        <c:auto val="1"/>
        <c:lblAlgn val="ctr"/>
        <c:lblOffset val="100"/>
        <c:noMultiLvlLbl val="0"/>
      </c:catAx>
      <c:valAx>
        <c:axId val="176223007"/>
        <c:scaling>
          <c:orientation val="minMax"/>
        </c:scaling>
        <c:delete val="1"/>
        <c:axPos val="b"/>
        <c:numFmt formatCode="0%" sourceLinked="1"/>
        <c:majorTickMark val="none"/>
        <c:minorTickMark val="none"/>
        <c:tickLblPos val="nextTo"/>
        <c:crossAx val="176222527"/>
        <c:crosses val="autoZero"/>
        <c:crossBetween val="between"/>
      </c:valAx>
      <c:spPr>
        <a:noFill/>
        <a:ln>
          <a:noFill/>
        </a:ln>
        <a:effectLst/>
      </c:spPr>
    </c:plotArea>
    <c:plotVisOnly val="1"/>
    <c:dispBlanksAs val="gap"/>
    <c:showDLblsOverMax val="0"/>
  </c:chart>
  <c:spPr>
    <a:solidFill>
      <a:schemeClr val="bg1"/>
    </a:solidFill>
    <a:ln w="19050" cap="flat" cmpd="sng" algn="ctr">
      <a:solidFill>
        <a:schemeClr val="tx1"/>
      </a:solidFill>
      <a:round/>
    </a:ln>
    <a:effectLst/>
  </c:spPr>
  <c:txPr>
    <a:bodyPr/>
    <a:lstStyle/>
    <a:p>
      <a:pPr>
        <a:defRPr/>
      </a:pPr>
      <a:endParaRPr lang="en-001"/>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Detected Models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Detected Models</a:t>
          </a:r>
        </a:p>
      </cx:txPr>
    </cx:title>
    <cx:plotArea>
      <cx:plotAreaRegion>
        <cx:series layoutId="funnel" uniqueId="{E3365109-FF42-4FA1-B56C-5749ECAFA159}">
          <cx:dataLabels>
            <cx:visibility seriesName="0" categoryName="0" value="1"/>
          </cx:dataLabels>
          <cx:dataId val="0"/>
        </cx:series>
      </cx:plotAreaRegion>
      <cx:axis id="0">
        <cx:catScaling gapWidth="0.0599999987"/>
        <cx:title>
          <cx:tx>
            <cx:txData>
              <cx:v>Models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Models</a:t>
              </a:r>
            </a:p>
          </cx:txPr>
        </cx:titl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withinLinear" id="18">
  <a:schemeClr val="accent5"/>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withinLinear" id="18">
  <a:schemeClr val="accent5"/>
</cs:colorStyle>
</file>

<file path=xl/charts/colors26.xml><?xml version="1.0" encoding="utf-8"?>
<cs:colorStyle xmlns:cs="http://schemas.microsoft.com/office/drawing/2012/chartStyle" xmlns:a="http://schemas.openxmlformats.org/drawingml/2006/main" meth="withinLinear" id="18">
  <a:schemeClr val="accent5"/>
</cs:colorStyle>
</file>

<file path=xl/charts/colors27.xml><?xml version="1.0" encoding="utf-8"?>
<cs:colorStyle xmlns:cs="http://schemas.microsoft.com/office/drawing/2012/chartStyle" xmlns:a="http://schemas.openxmlformats.org/drawingml/2006/main" meth="withinLinear" id="18">
  <a:schemeClr val="accent5"/>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 id="18">
  <a:schemeClr val="accent5"/>
</cs:colorStyle>
</file>

<file path=xl/charts/colors3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4" Type="http://schemas.openxmlformats.org/officeDocument/2006/relationships/chart" Target="../charts/chart27.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image" Target="../media/image1.png"/><Relationship Id="rId1" Type="http://schemas.microsoft.com/office/2014/relationships/chartEx" Target="../charts/chartEx1.xml"/><Relationship Id="rId4" Type="http://schemas.openxmlformats.org/officeDocument/2006/relationships/chart" Target="../charts/chart2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23</xdr:col>
      <xdr:colOff>281458</xdr:colOff>
      <xdr:row>24</xdr:row>
      <xdr:rowOff>184051</xdr:rowOff>
    </xdr:from>
    <xdr:to>
      <xdr:col>32</xdr:col>
      <xdr:colOff>1313561</xdr:colOff>
      <xdr:row>48</xdr:row>
      <xdr:rowOff>164012</xdr:rowOff>
    </xdr:to>
    <xdr:graphicFrame macro="">
      <xdr:nvGraphicFramePr>
        <xdr:cNvPr id="3" name="Chart 2">
          <a:extLst>
            <a:ext uri="{FF2B5EF4-FFF2-40B4-BE49-F238E27FC236}">
              <a16:creationId xmlns:a16="http://schemas.microsoft.com/office/drawing/2014/main" id="{D92A8107-45A4-7262-0A71-42577F579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1523337</xdr:colOff>
      <xdr:row>24</xdr:row>
      <xdr:rowOff>183225</xdr:rowOff>
    </xdr:from>
    <xdr:to>
      <xdr:col>41</xdr:col>
      <xdr:colOff>600201</xdr:colOff>
      <xdr:row>49</xdr:row>
      <xdr:rowOff>31579</xdr:rowOff>
    </xdr:to>
    <xdr:graphicFrame macro="">
      <xdr:nvGraphicFramePr>
        <xdr:cNvPr id="4" name="Chart 3">
          <a:extLst>
            <a:ext uri="{FF2B5EF4-FFF2-40B4-BE49-F238E27FC236}">
              <a16:creationId xmlns:a16="http://schemas.microsoft.com/office/drawing/2014/main" id="{9A1E19F9-4E9C-34B1-30CA-38A1DB611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39704</xdr:colOff>
      <xdr:row>25</xdr:row>
      <xdr:rowOff>134452</xdr:rowOff>
    </xdr:from>
    <xdr:to>
      <xdr:col>28</xdr:col>
      <xdr:colOff>1015005</xdr:colOff>
      <xdr:row>49</xdr:row>
      <xdr:rowOff>128020</xdr:rowOff>
    </xdr:to>
    <xdr:graphicFrame macro="">
      <xdr:nvGraphicFramePr>
        <xdr:cNvPr id="2" name="Chart 1">
          <a:extLst>
            <a:ext uri="{FF2B5EF4-FFF2-40B4-BE49-F238E27FC236}">
              <a16:creationId xmlns:a16="http://schemas.microsoft.com/office/drawing/2014/main" id="{A3B360F3-FB7F-4B92-9930-73C3E3C2C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1921947</xdr:colOff>
      <xdr:row>24</xdr:row>
      <xdr:rowOff>180023</xdr:rowOff>
    </xdr:from>
    <xdr:to>
      <xdr:col>41</xdr:col>
      <xdr:colOff>563383</xdr:colOff>
      <xdr:row>49</xdr:row>
      <xdr:rowOff>28377</xdr:rowOff>
    </xdr:to>
    <xdr:graphicFrame macro="">
      <xdr:nvGraphicFramePr>
        <xdr:cNvPr id="3" name="Chart 2">
          <a:extLst>
            <a:ext uri="{FF2B5EF4-FFF2-40B4-BE49-F238E27FC236}">
              <a16:creationId xmlns:a16="http://schemas.microsoft.com/office/drawing/2014/main" id="{EDF734AC-8FDF-49AA-A928-98278E791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xdr:col>
      <xdr:colOff>106387</xdr:colOff>
      <xdr:row>24</xdr:row>
      <xdr:rowOff>156530</xdr:rowOff>
    </xdr:from>
    <xdr:to>
      <xdr:col>32</xdr:col>
      <xdr:colOff>728869</xdr:colOff>
      <xdr:row>42</xdr:row>
      <xdr:rowOff>99392</xdr:rowOff>
    </xdr:to>
    <xdr:graphicFrame macro="">
      <xdr:nvGraphicFramePr>
        <xdr:cNvPr id="5" name="Chart 4">
          <a:extLst>
            <a:ext uri="{FF2B5EF4-FFF2-40B4-BE49-F238E27FC236}">
              <a16:creationId xmlns:a16="http://schemas.microsoft.com/office/drawing/2014/main" id="{60D2ADF6-EA8F-BA52-0AEB-E1D264CB2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180492</xdr:colOff>
      <xdr:row>25</xdr:row>
      <xdr:rowOff>24332</xdr:rowOff>
    </xdr:from>
    <xdr:to>
      <xdr:col>42</xdr:col>
      <xdr:colOff>14405</xdr:colOff>
      <xdr:row>48</xdr:row>
      <xdr:rowOff>35218</xdr:rowOff>
    </xdr:to>
    <xdr:graphicFrame macro="">
      <xdr:nvGraphicFramePr>
        <xdr:cNvPr id="6" name="Chart 5">
          <a:extLst>
            <a:ext uri="{FF2B5EF4-FFF2-40B4-BE49-F238E27FC236}">
              <a16:creationId xmlns:a16="http://schemas.microsoft.com/office/drawing/2014/main" id="{D80C9450-3031-8244-6C3D-78617A9B7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32</xdr:col>
      <xdr:colOff>1019734</xdr:colOff>
      <xdr:row>24</xdr:row>
      <xdr:rowOff>179613</xdr:rowOff>
    </xdr:from>
    <xdr:to>
      <xdr:col>41</xdr:col>
      <xdr:colOff>593912</xdr:colOff>
      <xdr:row>49</xdr:row>
      <xdr:rowOff>36819</xdr:rowOff>
    </xdr:to>
    <xdr:graphicFrame macro="">
      <xdr:nvGraphicFramePr>
        <xdr:cNvPr id="5" name="Chart 4">
          <a:extLst>
            <a:ext uri="{FF2B5EF4-FFF2-40B4-BE49-F238E27FC236}">
              <a16:creationId xmlns:a16="http://schemas.microsoft.com/office/drawing/2014/main" id="{39EF1716-15E0-4019-8220-1FDB118D0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334496</xdr:colOff>
      <xdr:row>25</xdr:row>
      <xdr:rowOff>14284</xdr:rowOff>
    </xdr:from>
    <xdr:to>
      <xdr:col>32</xdr:col>
      <xdr:colOff>787213</xdr:colOff>
      <xdr:row>49</xdr:row>
      <xdr:rowOff>40900</xdr:rowOff>
    </xdr:to>
    <xdr:graphicFrame macro="">
      <xdr:nvGraphicFramePr>
        <xdr:cNvPr id="6" name="Chart 5">
          <a:extLst>
            <a:ext uri="{FF2B5EF4-FFF2-40B4-BE49-F238E27FC236}">
              <a16:creationId xmlns:a16="http://schemas.microsoft.com/office/drawing/2014/main" id="{41CCEEE1-9642-407F-884D-162925829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31</xdr:col>
      <xdr:colOff>393245</xdr:colOff>
      <xdr:row>25</xdr:row>
      <xdr:rowOff>5442</xdr:rowOff>
    </xdr:from>
    <xdr:to>
      <xdr:col>41</xdr:col>
      <xdr:colOff>600074</xdr:colOff>
      <xdr:row>49</xdr:row>
      <xdr:rowOff>59871</xdr:rowOff>
    </xdr:to>
    <xdr:graphicFrame macro="">
      <xdr:nvGraphicFramePr>
        <xdr:cNvPr id="4" name="Chart 3">
          <a:extLst>
            <a:ext uri="{FF2B5EF4-FFF2-40B4-BE49-F238E27FC236}">
              <a16:creationId xmlns:a16="http://schemas.microsoft.com/office/drawing/2014/main" id="{04BD0D7C-1F28-4646-8E32-7BCFD914D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2540453</xdr:colOff>
      <xdr:row>25</xdr:row>
      <xdr:rowOff>2038</xdr:rowOff>
    </xdr:from>
    <xdr:to>
      <xdr:col>31</xdr:col>
      <xdr:colOff>129267</xdr:colOff>
      <xdr:row>49</xdr:row>
      <xdr:rowOff>44902</xdr:rowOff>
    </xdr:to>
    <xdr:graphicFrame macro="">
      <xdr:nvGraphicFramePr>
        <xdr:cNvPr id="5" name="Chart 4">
          <a:extLst>
            <a:ext uri="{FF2B5EF4-FFF2-40B4-BE49-F238E27FC236}">
              <a16:creationId xmlns:a16="http://schemas.microsoft.com/office/drawing/2014/main" id="{62D4B93F-FAE9-44DF-AC34-EA0D4DE8B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32</xdr:col>
      <xdr:colOff>348961</xdr:colOff>
      <xdr:row>24</xdr:row>
      <xdr:rowOff>154503</xdr:rowOff>
    </xdr:from>
    <xdr:to>
      <xdr:col>42</xdr:col>
      <xdr:colOff>4329</xdr:colOff>
      <xdr:row>49</xdr:row>
      <xdr:rowOff>18432</xdr:rowOff>
    </xdr:to>
    <xdr:graphicFrame macro="">
      <xdr:nvGraphicFramePr>
        <xdr:cNvPr id="4" name="Chart 3">
          <a:extLst>
            <a:ext uri="{FF2B5EF4-FFF2-40B4-BE49-F238E27FC236}">
              <a16:creationId xmlns:a16="http://schemas.microsoft.com/office/drawing/2014/main" id="{9E92A63F-67F0-44DD-92F1-7B4866A68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171450</xdr:colOff>
      <xdr:row>24</xdr:row>
      <xdr:rowOff>160623</xdr:rowOff>
    </xdr:from>
    <xdr:to>
      <xdr:col>32</xdr:col>
      <xdr:colOff>11257</xdr:colOff>
      <xdr:row>49</xdr:row>
      <xdr:rowOff>12987</xdr:rowOff>
    </xdr:to>
    <xdr:graphicFrame macro="">
      <xdr:nvGraphicFramePr>
        <xdr:cNvPr id="5" name="Chart 4">
          <a:extLst>
            <a:ext uri="{FF2B5EF4-FFF2-40B4-BE49-F238E27FC236}">
              <a16:creationId xmlns:a16="http://schemas.microsoft.com/office/drawing/2014/main" id="{1A5133C6-82B7-43D9-B549-A85CBFD2C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32</xdr:col>
      <xdr:colOff>395968</xdr:colOff>
      <xdr:row>24</xdr:row>
      <xdr:rowOff>175532</xdr:rowOff>
    </xdr:from>
    <xdr:to>
      <xdr:col>42</xdr:col>
      <xdr:colOff>20411</xdr:colOff>
      <xdr:row>49</xdr:row>
      <xdr:rowOff>39461</xdr:rowOff>
    </xdr:to>
    <xdr:graphicFrame macro="">
      <xdr:nvGraphicFramePr>
        <xdr:cNvPr id="2" name="Chart 1">
          <a:extLst>
            <a:ext uri="{FF2B5EF4-FFF2-40B4-BE49-F238E27FC236}">
              <a16:creationId xmlns:a16="http://schemas.microsoft.com/office/drawing/2014/main" id="{DD930B0B-E804-4D1F-990F-6BE2A9242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130629</xdr:colOff>
      <xdr:row>24</xdr:row>
      <xdr:rowOff>181652</xdr:rowOff>
    </xdr:from>
    <xdr:to>
      <xdr:col>32</xdr:col>
      <xdr:colOff>1361</xdr:colOff>
      <xdr:row>49</xdr:row>
      <xdr:rowOff>34016</xdr:rowOff>
    </xdr:to>
    <xdr:graphicFrame macro="">
      <xdr:nvGraphicFramePr>
        <xdr:cNvPr id="3" name="Chart 2">
          <a:extLst>
            <a:ext uri="{FF2B5EF4-FFF2-40B4-BE49-F238E27FC236}">
              <a16:creationId xmlns:a16="http://schemas.microsoft.com/office/drawing/2014/main" id="{CB1BCE8E-EF76-46D5-A85A-0CD9E5505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32</xdr:col>
      <xdr:colOff>868508</xdr:colOff>
      <xdr:row>25</xdr:row>
      <xdr:rowOff>15958</xdr:rowOff>
    </xdr:from>
    <xdr:to>
      <xdr:col>41</xdr:col>
      <xdr:colOff>4330</xdr:colOff>
      <xdr:row>49</xdr:row>
      <xdr:rowOff>70387</xdr:rowOff>
    </xdr:to>
    <xdr:graphicFrame macro="">
      <xdr:nvGraphicFramePr>
        <xdr:cNvPr id="2" name="Chart 1">
          <a:extLst>
            <a:ext uri="{FF2B5EF4-FFF2-40B4-BE49-F238E27FC236}">
              <a16:creationId xmlns:a16="http://schemas.microsoft.com/office/drawing/2014/main" id="{D3ED2994-2B0F-4709-9741-5093C9F04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309996</xdr:colOff>
      <xdr:row>24</xdr:row>
      <xdr:rowOff>177942</xdr:rowOff>
    </xdr:from>
    <xdr:to>
      <xdr:col>32</xdr:col>
      <xdr:colOff>271030</xdr:colOff>
      <xdr:row>49</xdr:row>
      <xdr:rowOff>30306</xdr:rowOff>
    </xdr:to>
    <xdr:graphicFrame macro="">
      <xdr:nvGraphicFramePr>
        <xdr:cNvPr id="3" name="Chart 2">
          <a:extLst>
            <a:ext uri="{FF2B5EF4-FFF2-40B4-BE49-F238E27FC236}">
              <a16:creationId xmlns:a16="http://schemas.microsoft.com/office/drawing/2014/main" id="{4A61925C-D7E7-49C7-B7F7-3B9F04A7E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32</xdr:col>
      <xdr:colOff>366280</xdr:colOff>
      <xdr:row>25</xdr:row>
      <xdr:rowOff>33275</xdr:rowOff>
    </xdr:from>
    <xdr:to>
      <xdr:col>41</xdr:col>
      <xdr:colOff>229465</xdr:colOff>
      <xdr:row>49</xdr:row>
      <xdr:rowOff>87704</xdr:rowOff>
    </xdr:to>
    <xdr:graphicFrame macro="">
      <xdr:nvGraphicFramePr>
        <xdr:cNvPr id="2" name="Chart 1">
          <a:extLst>
            <a:ext uri="{FF2B5EF4-FFF2-40B4-BE49-F238E27FC236}">
              <a16:creationId xmlns:a16="http://schemas.microsoft.com/office/drawing/2014/main" id="{F81E3A0B-F2FA-47D5-9094-2D825712E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760268</xdr:colOff>
      <xdr:row>25</xdr:row>
      <xdr:rowOff>4760</xdr:rowOff>
    </xdr:from>
    <xdr:to>
      <xdr:col>31</xdr:col>
      <xdr:colOff>669348</xdr:colOff>
      <xdr:row>49</xdr:row>
      <xdr:rowOff>47624</xdr:rowOff>
    </xdr:to>
    <xdr:graphicFrame macro="">
      <xdr:nvGraphicFramePr>
        <xdr:cNvPr id="3" name="Chart 2">
          <a:extLst>
            <a:ext uri="{FF2B5EF4-FFF2-40B4-BE49-F238E27FC236}">
              <a16:creationId xmlns:a16="http://schemas.microsoft.com/office/drawing/2014/main" id="{61864E86-581A-4D6E-8DE0-9085BA1BE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31</xdr:col>
      <xdr:colOff>314325</xdr:colOff>
      <xdr:row>24</xdr:row>
      <xdr:rowOff>154503</xdr:rowOff>
    </xdr:from>
    <xdr:to>
      <xdr:col>40</xdr:col>
      <xdr:colOff>1320512</xdr:colOff>
      <xdr:row>49</xdr:row>
      <xdr:rowOff>18432</xdr:rowOff>
    </xdr:to>
    <xdr:graphicFrame macro="">
      <xdr:nvGraphicFramePr>
        <xdr:cNvPr id="2" name="Chart 1">
          <a:extLst>
            <a:ext uri="{FF2B5EF4-FFF2-40B4-BE49-F238E27FC236}">
              <a16:creationId xmlns:a16="http://schemas.microsoft.com/office/drawing/2014/main" id="{A75CDE01-F8A4-4537-B55A-1C816861F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240723</xdr:colOff>
      <xdr:row>24</xdr:row>
      <xdr:rowOff>160623</xdr:rowOff>
    </xdr:from>
    <xdr:to>
      <xdr:col>30</xdr:col>
      <xdr:colOff>322985</xdr:colOff>
      <xdr:row>49</xdr:row>
      <xdr:rowOff>12987</xdr:rowOff>
    </xdr:to>
    <xdr:graphicFrame macro="">
      <xdr:nvGraphicFramePr>
        <xdr:cNvPr id="3" name="Chart 2">
          <a:extLst>
            <a:ext uri="{FF2B5EF4-FFF2-40B4-BE49-F238E27FC236}">
              <a16:creationId xmlns:a16="http://schemas.microsoft.com/office/drawing/2014/main" id="{D8D587F9-FA58-4439-8060-0E90D4638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3283</xdr:colOff>
      <xdr:row>27</xdr:row>
      <xdr:rowOff>37442</xdr:rowOff>
    </xdr:from>
    <xdr:to>
      <xdr:col>22</xdr:col>
      <xdr:colOff>298887</xdr:colOff>
      <xdr:row>41</xdr:row>
      <xdr:rowOff>113642</xdr:rowOff>
    </xdr:to>
    <xdr:graphicFrame macro="">
      <xdr:nvGraphicFramePr>
        <xdr:cNvPr id="6" name="Chart 5">
          <a:extLst>
            <a:ext uri="{FF2B5EF4-FFF2-40B4-BE49-F238E27FC236}">
              <a16:creationId xmlns:a16="http://schemas.microsoft.com/office/drawing/2014/main" id="{0BE9DE81-3A25-104F-B78A-067A7B194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584638</xdr:colOff>
      <xdr:row>0</xdr:row>
      <xdr:rowOff>89994</xdr:rowOff>
    </xdr:from>
    <xdr:to>
      <xdr:col>12</xdr:col>
      <xdr:colOff>6569</xdr:colOff>
      <xdr:row>19</xdr:row>
      <xdr:rowOff>26275</xdr:rowOff>
    </xdr:to>
    <xdr:graphicFrame macro="">
      <xdr:nvGraphicFramePr>
        <xdr:cNvPr id="2" name="Chart 1">
          <a:extLst>
            <a:ext uri="{FF2B5EF4-FFF2-40B4-BE49-F238E27FC236}">
              <a16:creationId xmlns:a16="http://schemas.microsoft.com/office/drawing/2014/main" id="{176B357F-F4CC-ADA5-5EED-A3784490A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610913</xdr:colOff>
      <xdr:row>20</xdr:row>
      <xdr:rowOff>109701</xdr:rowOff>
    </xdr:from>
    <xdr:to>
      <xdr:col>11</xdr:col>
      <xdr:colOff>584636</xdr:colOff>
      <xdr:row>38</xdr:row>
      <xdr:rowOff>91964</xdr:rowOff>
    </xdr:to>
    <xdr:graphicFrame macro="">
      <xdr:nvGraphicFramePr>
        <xdr:cNvPr id="3" name="Chart 2">
          <a:extLst>
            <a:ext uri="{FF2B5EF4-FFF2-40B4-BE49-F238E27FC236}">
              <a16:creationId xmlns:a16="http://schemas.microsoft.com/office/drawing/2014/main" id="{9F573854-1E4C-9014-DFD8-A29244A4C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754529</xdr:colOff>
      <xdr:row>3</xdr:row>
      <xdr:rowOff>2988</xdr:rowOff>
    </xdr:from>
    <xdr:to>
      <xdr:col>13</xdr:col>
      <xdr:colOff>1</xdr:colOff>
      <xdr:row>28</xdr:row>
      <xdr:rowOff>141940</xdr:rowOff>
    </xdr:to>
    <xdr:graphicFrame macro="">
      <xdr:nvGraphicFramePr>
        <xdr:cNvPr id="2" name="Chart 1">
          <a:extLst>
            <a:ext uri="{FF2B5EF4-FFF2-40B4-BE49-F238E27FC236}">
              <a16:creationId xmlns:a16="http://schemas.microsoft.com/office/drawing/2014/main" id="{F9AF66D4-3A2F-651F-D909-DEA657452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829236</xdr:colOff>
      <xdr:row>29</xdr:row>
      <xdr:rowOff>167343</xdr:rowOff>
    </xdr:from>
    <xdr:to>
      <xdr:col>13</xdr:col>
      <xdr:colOff>100853</xdr:colOff>
      <xdr:row>55</xdr:row>
      <xdr:rowOff>156883</xdr:rowOff>
    </xdr:to>
    <xdr:graphicFrame macro="">
      <xdr:nvGraphicFramePr>
        <xdr:cNvPr id="3" name="Chart 2">
          <a:extLst>
            <a:ext uri="{FF2B5EF4-FFF2-40B4-BE49-F238E27FC236}">
              <a16:creationId xmlns:a16="http://schemas.microsoft.com/office/drawing/2014/main" id="{3088063C-4FAB-52B0-7D4A-D769A0448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306634</xdr:colOff>
      <xdr:row>7</xdr:row>
      <xdr:rowOff>52055</xdr:rowOff>
    </xdr:from>
    <xdr:to>
      <xdr:col>22</xdr:col>
      <xdr:colOff>294409</xdr:colOff>
      <xdr:row>38</xdr:row>
      <xdr:rowOff>106965</xdr:rowOff>
    </xdr:to>
    <xdr:graphicFrame macro="">
      <xdr:nvGraphicFramePr>
        <xdr:cNvPr id="6" name="Chart 5">
          <a:extLst>
            <a:ext uri="{FF2B5EF4-FFF2-40B4-BE49-F238E27FC236}">
              <a16:creationId xmlns:a16="http://schemas.microsoft.com/office/drawing/2014/main" id="{5D4E558D-3728-BE39-E269-5B9F42599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346362</xdr:colOff>
      <xdr:row>40</xdr:row>
      <xdr:rowOff>171246</xdr:rowOff>
    </xdr:from>
    <xdr:to>
      <xdr:col>22</xdr:col>
      <xdr:colOff>294409</xdr:colOff>
      <xdr:row>72</xdr:row>
      <xdr:rowOff>17318</xdr:rowOff>
    </xdr:to>
    <xdr:graphicFrame macro="">
      <xdr:nvGraphicFramePr>
        <xdr:cNvPr id="7" name="Chart 6">
          <a:extLst>
            <a:ext uri="{FF2B5EF4-FFF2-40B4-BE49-F238E27FC236}">
              <a16:creationId xmlns:a16="http://schemas.microsoft.com/office/drawing/2014/main" id="{9BE3F939-B456-F776-17C0-12B5364A0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428624</xdr:colOff>
      <xdr:row>102</xdr:row>
      <xdr:rowOff>166687</xdr:rowOff>
    </xdr:from>
    <xdr:to>
      <xdr:col>13</xdr:col>
      <xdr:colOff>476250</xdr:colOff>
      <xdr:row>125</xdr:row>
      <xdr:rowOff>161925</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AEA308F-B589-3169-2147-93590F9DBE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610724" y="19635787"/>
              <a:ext cx="8315326" cy="4376738"/>
            </a:xfrm>
            <a:prstGeom prst="rect">
              <a:avLst/>
            </a:prstGeom>
            <a:solidFill>
              <a:prstClr val="white"/>
            </a:solidFill>
            <a:ln w="1">
              <a:solidFill>
                <a:prstClr val="green"/>
              </a:solidFill>
            </a:ln>
          </xdr:spPr>
          <xdr:txBody>
            <a:bodyPr vertOverflow="clip" horzOverflow="clip"/>
            <a:lstStyle/>
            <a:p>
              <a:r>
                <a:rPr lang="en-001"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636148</xdr:colOff>
      <xdr:row>151</xdr:row>
      <xdr:rowOff>186233</xdr:rowOff>
    </xdr:from>
    <xdr:to>
      <xdr:col>13</xdr:col>
      <xdr:colOff>142615</xdr:colOff>
      <xdr:row>170</xdr:row>
      <xdr:rowOff>26390</xdr:rowOff>
    </xdr:to>
    <xdr:pic>
      <xdr:nvPicPr>
        <xdr:cNvPr id="6" name="Picture 5">
          <a:extLst>
            <a:ext uri="{FF2B5EF4-FFF2-40B4-BE49-F238E27FC236}">
              <a16:creationId xmlns:a16="http://schemas.microsoft.com/office/drawing/2014/main" id="{D0ADF28B-F70E-EE7F-2E2E-437E7719E6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13766" y="29321527"/>
          <a:ext cx="7787614" cy="3470863"/>
        </a:xfrm>
        <a:prstGeom prst="rect">
          <a:avLst/>
        </a:prstGeom>
      </xdr:spPr>
    </xdr:pic>
    <xdr:clientData/>
  </xdr:twoCellAnchor>
  <xdr:twoCellAnchor>
    <xdr:from>
      <xdr:col>6</xdr:col>
      <xdr:colOff>473317</xdr:colOff>
      <xdr:row>178</xdr:row>
      <xdr:rowOff>137014</xdr:rowOff>
    </xdr:from>
    <xdr:to>
      <xdr:col>13</xdr:col>
      <xdr:colOff>657225</xdr:colOff>
      <xdr:row>197</xdr:row>
      <xdr:rowOff>180975</xdr:rowOff>
    </xdr:to>
    <xdr:graphicFrame macro="">
      <xdr:nvGraphicFramePr>
        <xdr:cNvPr id="3" name="Chart 2">
          <a:extLst>
            <a:ext uri="{FF2B5EF4-FFF2-40B4-BE49-F238E27FC236}">
              <a16:creationId xmlns:a16="http://schemas.microsoft.com/office/drawing/2014/main" id="{A1E16DB1-F973-5D3E-0850-891AA12D9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3457574</xdr:colOff>
      <xdr:row>110</xdr:row>
      <xdr:rowOff>14287</xdr:rowOff>
    </xdr:from>
    <xdr:to>
      <xdr:col>9</xdr:col>
      <xdr:colOff>1200149</xdr:colOff>
      <xdr:row>129</xdr:row>
      <xdr:rowOff>9525</xdr:rowOff>
    </xdr:to>
    <xdr:graphicFrame macro="">
      <xdr:nvGraphicFramePr>
        <xdr:cNvPr id="4" name="Chart 3">
          <a:extLst>
            <a:ext uri="{FF2B5EF4-FFF2-40B4-BE49-F238E27FC236}">
              <a16:creationId xmlns:a16="http://schemas.microsoft.com/office/drawing/2014/main" id="{715A0257-2256-7069-B417-226E4EB31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512270</xdr:colOff>
      <xdr:row>41</xdr:row>
      <xdr:rowOff>94769</xdr:rowOff>
    </xdr:from>
    <xdr:to>
      <xdr:col>23</xdr:col>
      <xdr:colOff>52829</xdr:colOff>
      <xdr:row>62</xdr:row>
      <xdr:rowOff>15207</xdr:rowOff>
    </xdr:to>
    <xdr:graphicFrame macro="">
      <xdr:nvGraphicFramePr>
        <xdr:cNvPr id="2" name="Chart 1">
          <a:extLst>
            <a:ext uri="{FF2B5EF4-FFF2-40B4-BE49-F238E27FC236}">
              <a16:creationId xmlns:a16="http://schemas.microsoft.com/office/drawing/2014/main" id="{35311D58-3F5E-C7D1-311E-A9ED9CFF1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ehbub Alam" id="{460F2E7F-0F96-49B5-B10B-9E8C41A64BE8}" userId="S::mehbub.alam@ku.ac.ae::4c78fb01-c2ae-4cb4-a430-931cfb67cb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5-08-26T18:48:03.23" personId="{460F2E7F-0F96-49B5-B10B-9E8C41A64BE8}" id="{CE2EE44A-5193-46B5-BD05-6AAB35204CBE}">
    <text>GPT5 created this category column</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745F0-2A7F-4885-90F6-01E93296621A}">
  <sheetPr>
    <pageSetUpPr fitToPage="1"/>
  </sheetPr>
  <dimension ref="A2:AU49"/>
  <sheetViews>
    <sheetView zoomScale="85" zoomScaleNormal="85" workbookViewId="0">
      <selection activeCell="Q8" sqref="Q8"/>
    </sheetView>
  </sheetViews>
  <sheetFormatPr defaultRowHeight="15" x14ac:dyDescent="0.25"/>
  <cols>
    <col min="1" max="1" width="26.28515625" bestFit="1" customWidth="1"/>
    <col min="2" max="2" width="13.28515625" customWidth="1"/>
    <col min="3" max="3" width="9.28515625" customWidth="1"/>
    <col min="4" max="4" width="9.5703125" customWidth="1"/>
    <col min="5" max="5" width="21.42578125" customWidth="1"/>
    <col min="6" max="6" width="8.85546875" customWidth="1"/>
    <col min="7" max="7" width="8.7109375" customWidth="1"/>
    <col min="8" max="8" width="8.5703125" customWidth="1"/>
    <col min="9" max="9" width="33.140625" bestFit="1" customWidth="1"/>
    <col min="10" max="10" width="8.42578125" customWidth="1"/>
    <col min="11" max="11" width="9.5703125" customWidth="1"/>
    <col min="12" max="12" width="8.5703125" customWidth="1"/>
    <col min="13" max="13" width="15.7109375" bestFit="1" customWidth="1"/>
    <col min="14" max="14" width="9.140625" customWidth="1"/>
    <col min="15" max="15" width="8.85546875" customWidth="1"/>
    <col min="16" max="16" width="8.5703125" customWidth="1"/>
    <col min="17" max="17" width="14.28515625" bestFit="1" customWidth="1"/>
    <col min="18" max="18" width="9.28515625" customWidth="1"/>
    <col min="19" max="19" width="8.85546875" customWidth="1"/>
    <col min="20" max="20" width="9.5703125" customWidth="1"/>
    <col min="21" max="21" width="23.5703125" bestFit="1" customWidth="1"/>
    <col min="22" max="23" width="9.140625" customWidth="1"/>
    <col min="24" max="24" width="10.28515625" customWidth="1"/>
    <col min="25" max="25" width="14.28515625" bestFit="1" customWidth="1"/>
    <col min="26" max="26" width="9.42578125" customWidth="1"/>
    <col min="27" max="27" width="8.7109375" customWidth="1"/>
    <col min="28" max="28" width="9.140625" customWidth="1"/>
    <col min="29" max="29" width="12.85546875" bestFit="1" customWidth="1"/>
    <col min="30" max="30" width="9.28515625" customWidth="1"/>
    <col min="31" max="31" width="9.85546875" customWidth="1"/>
    <col min="32" max="32" width="10.5703125" customWidth="1"/>
    <col min="33" max="33" width="27.5703125" bestFit="1" customWidth="1"/>
    <col min="34" max="34" width="9.140625" style="1" customWidth="1"/>
    <col min="35" max="35" width="9.42578125" style="1" customWidth="1"/>
    <col min="36" max="36" width="8.5703125" style="1" customWidth="1"/>
    <col min="37" max="37" width="36" bestFit="1" customWidth="1"/>
    <col min="38" max="38" width="8.85546875" style="1" customWidth="1"/>
    <col min="39" max="39" width="9.28515625" style="1" customWidth="1"/>
    <col min="40" max="40" width="8.85546875" style="1" customWidth="1"/>
    <col min="41" max="41" width="14.28515625" bestFit="1" customWidth="1"/>
    <col min="44" max="44" width="32.85546875" customWidth="1"/>
    <col min="45" max="45" width="28.140625"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64" t="s">
        <v>25</v>
      </c>
      <c r="C3" s="64"/>
      <c r="D3" s="64"/>
      <c r="E3" s="64"/>
      <c r="F3" s="64" t="s">
        <v>30</v>
      </c>
      <c r="G3" s="64"/>
      <c r="H3" s="64"/>
      <c r="I3" s="64"/>
      <c r="J3" s="64" t="s">
        <v>0</v>
      </c>
      <c r="K3" s="64"/>
      <c r="L3" s="64"/>
      <c r="M3" s="64"/>
      <c r="N3" s="64" t="s">
        <v>117</v>
      </c>
      <c r="O3" s="64"/>
      <c r="P3" s="64"/>
      <c r="Q3" s="64"/>
      <c r="R3" s="64" t="s">
        <v>1</v>
      </c>
      <c r="S3" s="64"/>
      <c r="T3" s="64"/>
      <c r="U3" s="64"/>
      <c r="V3" s="64" t="s">
        <v>2</v>
      </c>
      <c r="W3" s="64"/>
      <c r="X3" s="64"/>
      <c r="Y3" s="64"/>
      <c r="Z3" s="64" t="s">
        <v>3</v>
      </c>
      <c r="AA3" s="64"/>
      <c r="AB3" s="64"/>
      <c r="AC3" s="64"/>
      <c r="AD3" s="64" t="s">
        <v>4</v>
      </c>
      <c r="AE3" s="64"/>
      <c r="AF3" s="64"/>
      <c r="AG3" s="64"/>
      <c r="AH3" s="64" t="s">
        <v>5</v>
      </c>
      <c r="AI3" s="64"/>
      <c r="AJ3" s="64"/>
      <c r="AK3" s="64"/>
      <c r="AL3" s="64" t="s">
        <v>6</v>
      </c>
      <c r="AM3" s="64"/>
      <c r="AN3" s="64"/>
      <c r="AO3" s="64"/>
    </row>
    <row r="4" spans="1:47" s="6" customFormat="1" ht="47.25" x14ac:dyDescent="0.25">
      <c r="A4" s="15" t="s">
        <v>26</v>
      </c>
      <c r="B4" s="5" t="s">
        <v>28</v>
      </c>
      <c r="C4" s="5" t="s">
        <v>29</v>
      </c>
      <c r="D4" s="5" t="s">
        <v>31</v>
      </c>
      <c r="E4" s="5" t="s">
        <v>32</v>
      </c>
      <c r="F4" s="5" t="s">
        <v>28</v>
      </c>
      <c r="G4" s="5" t="s">
        <v>29</v>
      </c>
      <c r="H4" s="5"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0" t="s">
        <v>34</v>
      </c>
      <c r="AT4" s="20" t="s">
        <v>35</v>
      </c>
    </row>
    <row r="5" spans="1:47" s="10" customFormat="1" ht="30" x14ac:dyDescent="0.3">
      <c r="A5" s="16" t="s">
        <v>25</v>
      </c>
      <c r="B5" s="7">
        <v>90</v>
      </c>
      <c r="C5" s="7">
        <v>95</v>
      </c>
      <c r="D5" s="7">
        <f>AVERAGE(B5:C5)</f>
        <v>92.5</v>
      </c>
      <c r="E5" s="47" t="s">
        <v>121</v>
      </c>
      <c r="F5" s="3"/>
      <c r="G5" s="3"/>
      <c r="H5" s="7">
        <v>100</v>
      </c>
      <c r="I5" s="8" t="s">
        <v>18</v>
      </c>
      <c r="J5" s="7">
        <v>95</v>
      </c>
      <c r="K5" s="7">
        <v>98</v>
      </c>
      <c r="L5" s="7">
        <f>AVERAGE(J5:K5)</f>
        <v>96.5</v>
      </c>
      <c r="M5" s="8" t="s">
        <v>8</v>
      </c>
      <c r="N5" s="9"/>
      <c r="O5" s="9"/>
      <c r="P5" s="9"/>
      <c r="Q5" s="8" t="s">
        <v>9</v>
      </c>
      <c r="R5" s="7">
        <v>90</v>
      </c>
      <c r="S5" s="7">
        <v>100</v>
      </c>
      <c r="T5" s="7">
        <v>95</v>
      </c>
      <c r="U5" s="8" t="s">
        <v>8</v>
      </c>
      <c r="V5" s="7"/>
      <c r="W5" s="7"/>
      <c r="X5" s="7">
        <v>100</v>
      </c>
      <c r="Y5" s="9" t="s">
        <v>11</v>
      </c>
      <c r="Z5" s="7"/>
      <c r="AA5" s="7"/>
      <c r="AB5" s="7">
        <v>80</v>
      </c>
      <c r="AC5" s="9" t="s">
        <v>12</v>
      </c>
      <c r="AD5" s="9"/>
      <c r="AE5" s="9"/>
      <c r="AF5" s="7">
        <v>100</v>
      </c>
      <c r="AG5" s="8" t="s">
        <v>17</v>
      </c>
      <c r="AH5" s="7"/>
      <c r="AI5" s="7"/>
      <c r="AJ5" s="7">
        <v>100</v>
      </c>
      <c r="AK5" s="8" t="s">
        <v>8</v>
      </c>
      <c r="AL5" s="7"/>
      <c r="AM5" s="7"/>
      <c r="AN5" s="7">
        <v>0</v>
      </c>
      <c r="AO5" s="8" t="s">
        <v>10</v>
      </c>
      <c r="AR5" s="18" t="s">
        <v>25</v>
      </c>
      <c r="AS5" s="20">
        <v>98.1</v>
      </c>
      <c r="AT5" s="21">
        <f>AVERAGE(D5,H5,L5,T5,X5,AB5,AF5,AJ5,AN5)</f>
        <v>84.888888888888886</v>
      </c>
    </row>
    <row r="6" spans="1:47" s="10" customFormat="1" ht="18.75" x14ac:dyDescent="0.3">
      <c r="A6" s="17" t="s">
        <v>30</v>
      </c>
      <c r="B6" s="3">
        <v>98</v>
      </c>
      <c r="C6" s="3">
        <v>100</v>
      </c>
      <c r="D6" s="7">
        <f t="shared" ref="D6:D14" si="0">AVERAGE(B6:C6)</f>
        <v>99</v>
      </c>
      <c r="E6" s="11" t="s">
        <v>13</v>
      </c>
      <c r="F6" s="12"/>
      <c r="G6" s="12"/>
      <c r="H6" s="3">
        <v>100</v>
      </c>
      <c r="I6" s="132" t="s">
        <v>14</v>
      </c>
      <c r="J6" s="3">
        <v>90</v>
      </c>
      <c r="K6" s="3">
        <v>95</v>
      </c>
      <c r="L6" s="7">
        <f t="shared" ref="L6:L14" si="1">AVERAGE(J6:K6)</f>
        <v>92.5</v>
      </c>
      <c r="M6" s="13" t="s">
        <v>15</v>
      </c>
      <c r="N6" s="8"/>
      <c r="O6" s="8"/>
      <c r="P6" s="8"/>
      <c r="Q6" s="8" t="s">
        <v>9</v>
      </c>
      <c r="R6" s="7">
        <v>90</v>
      </c>
      <c r="S6" s="7">
        <v>100</v>
      </c>
      <c r="T6" s="7">
        <v>95</v>
      </c>
      <c r="U6" s="8" t="s">
        <v>8</v>
      </c>
      <c r="V6" s="3">
        <v>80</v>
      </c>
      <c r="W6" s="3">
        <v>90</v>
      </c>
      <c r="X6" s="3">
        <v>85</v>
      </c>
      <c r="Y6" s="9" t="s">
        <v>11</v>
      </c>
      <c r="Z6" s="3"/>
      <c r="AA6" s="3"/>
      <c r="AB6" s="3">
        <v>90</v>
      </c>
      <c r="AC6" s="13" t="s">
        <v>16</v>
      </c>
      <c r="AD6" s="8"/>
      <c r="AE6" s="8"/>
      <c r="AF6" s="3">
        <v>100</v>
      </c>
      <c r="AG6" s="8" t="s">
        <v>17</v>
      </c>
      <c r="AH6" s="7"/>
      <c r="AI6" s="3"/>
      <c r="AJ6" s="3">
        <v>100</v>
      </c>
      <c r="AK6" s="14" t="s">
        <v>8</v>
      </c>
      <c r="AL6" s="3"/>
      <c r="AM6" s="3"/>
      <c r="AN6" s="3">
        <v>0</v>
      </c>
      <c r="AO6" s="8" t="s">
        <v>10</v>
      </c>
      <c r="AR6" s="18" t="s">
        <v>30</v>
      </c>
      <c r="AS6" s="20">
        <v>90</v>
      </c>
      <c r="AT6" s="21">
        <f t="shared" ref="AT6:AT14" si="2">AVERAGE(D6,H6,L6,T6,X6,AB6,AF6,AJ6,AN6)</f>
        <v>84.611111111111114</v>
      </c>
    </row>
    <row r="7" spans="1:47" s="10" customFormat="1" ht="18.75" x14ac:dyDescent="0.3">
      <c r="A7" s="17" t="s">
        <v>0</v>
      </c>
      <c r="B7" s="3">
        <v>98</v>
      </c>
      <c r="C7" s="3">
        <v>100</v>
      </c>
      <c r="D7" s="7">
        <f t="shared" si="0"/>
        <v>99</v>
      </c>
      <c r="E7" s="11" t="s">
        <v>13</v>
      </c>
      <c r="F7" s="12"/>
      <c r="G7" s="12"/>
      <c r="H7" s="3">
        <v>100</v>
      </c>
      <c r="I7" s="8" t="s">
        <v>18</v>
      </c>
      <c r="J7" s="3">
        <v>15</v>
      </c>
      <c r="K7" s="3">
        <v>25</v>
      </c>
      <c r="L7" s="7">
        <f t="shared" si="1"/>
        <v>20</v>
      </c>
      <c r="M7" s="47" t="s">
        <v>11</v>
      </c>
      <c r="N7" s="8"/>
      <c r="O7" s="8"/>
      <c r="P7" s="8"/>
      <c r="Q7" s="8" t="s">
        <v>9</v>
      </c>
      <c r="R7" s="7">
        <v>90</v>
      </c>
      <c r="S7" s="7">
        <v>100</v>
      </c>
      <c r="T7" s="7">
        <v>95</v>
      </c>
      <c r="U7" s="8" t="s">
        <v>8</v>
      </c>
      <c r="V7" s="3"/>
      <c r="W7" s="3"/>
      <c r="X7" s="3">
        <v>100</v>
      </c>
      <c r="Y7" s="9" t="s">
        <v>11</v>
      </c>
      <c r="Z7" s="3"/>
      <c r="AA7" s="3"/>
      <c r="AB7" s="3">
        <v>85</v>
      </c>
      <c r="AC7" s="13" t="s">
        <v>16</v>
      </c>
      <c r="AD7" s="8"/>
      <c r="AE7" s="8"/>
      <c r="AF7" s="3">
        <v>100</v>
      </c>
      <c r="AG7" s="8" t="s">
        <v>17</v>
      </c>
      <c r="AH7" s="7"/>
      <c r="AI7" s="3"/>
      <c r="AJ7" s="3">
        <v>100</v>
      </c>
      <c r="AK7" s="14" t="s">
        <v>8</v>
      </c>
      <c r="AL7" s="3"/>
      <c r="AM7" s="3"/>
      <c r="AN7" s="3">
        <v>0</v>
      </c>
      <c r="AO7" s="8" t="s">
        <v>10</v>
      </c>
      <c r="AR7" s="18" t="s">
        <v>0</v>
      </c>
      <c r="AS7" s="20">
        <v>77.05</v>
      </c>
      <c r="AT7" s="21">
        <f t="shared" si="2"/>
        <v>77.666666666666671</v>
      </c>
    </row>
    <row r="8" spans="1:47" s="10" customFormat="1" ht="18.75" x14ac:dyDescent="0.3">
      <c r="A8" s="17" t="s">
        <v>117</v>
      </c>
      <c r="B8" s="3">
        <v>98</v>
      </c>
      <c r="C8" s="3">
        <v>100</v>
      </c>
      <c r="D8" s="7">
        <f t="shared" si="0"/>
        <v>99</v>
      </c>
      <c r="E8" s="11" t="s">
        <v>13</v>
      </c>
      <c r="F8" s="12"/>
      <c r="G8" s="12"/>
      <c r="H8" s="3">
        <v>100</v>
      </c>
      <c r="I8" s="8" t="s">
        <v>18</v>
      </c>
      <c r="J8" s="3">
        <v>85</v>
      </c>
      <c r="K8" s="3">
        <v>90</v>
      </c>
      <c r="L8" s="7">
        <f t="shared" si="1"/>
        <v>87.5</v>
      </c>
      <c r="M8" s="13" t="s">
        <v>8</v>
      </c>
      <c r="N8" s="8"/>
      <c r="O8" s="8"/>
      <c r="P8" s="8"/>
      <c r="Q8" s="8" t="s">
        <v>9</v>
      </c>
      <c r="R8" s="7">
        <v>90</v>
      </c>
      <c r="S8" s="7">
        <v>100</v>
      </c>
      <c r="T8" s="7">
        <v>95</v>
      </c>
      <c r="U8" s="8" t="s">
        <v>8</v>
      </c>
      <c r="V8" s="3"/>
      <c r="W8" s="3"/>
      <c r="X8" s="3">
        <v>100</v>
      </c>
      <c r="Y8" s="9" t="s">
        <v>11</v>
      </c>
      <c r="Z8" s="3"/>
      <c r="AA8" s="3"/>
      <c r="AB8" s="3">
        <v>95</v>
      </c>
      <c r="AC8" s="13" t="s">
        <v>16</v>
      </c>
      <c r="AD8" s="8"/>
      <c r="AE8" s="8"/>
      <c r="AF8" s="3">
        <v>100</v>
      </c>
      <c r="AG8" s="8" t="s">
        <v>17</v>
      </c>
      <c r="AH8" s="3">
        <v>85</v>
      </c>
      <c r="AI8" s="3">
        <v>90</v>
      </c>
      <c r="AJ8" s="3">
        <f>AVERAGE(AH8:AI8)</f>
        <v>87.5</v>
      </c>
      <c r="AK8" s="14" t="s">
        <v>8</v>
      </c>
      <c r="AL8" s="3"/>
      <c r="AM8" s="3"/>
      <c r="AN8" s="3">
        <v>0</v>
      </c>
      <c r="AO8" s="8" t="s">
        <v>10</v>
      </c>
      <c r="AR8" s="18" t="s">
        <v>117</v>
      </c>
      <c r="AS8" s="20"/>
      <c r="AT8" s="21">
        <f t="shared" si="2"/>
        <v>84.888888888888886</v>
      </c>
    </row>
    <row r="9" spans="1:47" s="10" customFormat="1" ht="18.75" x14ac:dyDescent="0.3">
      <c r="A9" s="17" t="s">
        <v>1</v>
      </c>
      <c r="B9" s="3">
        <v>95</v>
      </c>
      <c r="C9" s="3">
        <v>98</v>
      </c>
      <c r="D9" s="7">
        <f t="shared" si="0"/>
        <v>96.5</v>
      </c>
      <c r="E9" s="11" t="s">
        <v>13</v>
      </c>
      <c r="F9" s="12"/>
      <c r="G9" s="12"/>
      <c r="H9" s="3">
        <v>100</v>
      </c>
      <c r="I9" s="8" t="s">
        <v>18</v>
      </c>
      <c r="J9" s="3">
        <v>90</v>
      </c>
      <c r="K9" s="3">
        <v>95</v>
      </c>
      <c r="L9" s="7">
        <f t="shared" si="1"/>
        <v>92.5</v>
      </c>
      <c r="M9" s="13" t="s">
        <v>8</v>
      </c>
      <c r="N9" s="8"/>
      <c r="O9" s="8"/>
      <c r="P9" s="8"/>
      <c r="Q9" s="8" t="s">
        <v>9</v>
      </c>
      <c r="R9" s="7">
        <v>90</v>
      </c>
      <c r="S9" s="7">
        <v>100</v>
      </c>
      <c r="T9" s="7">
        <v>95</v>
      </c>
      <c r="U9" s="8" t="s">
        <v>8</v>
      </c>
      <c r="V9" s="3">
        <v>70</v>
      </c>
      <c r="W9" s="3">
        <v>80</v>
      </c>
      <c r="X9" s="3">
        <v>75</v>
      </c>
      <c r="Y9" s="9" t="s">
        <v>11</v>
      </c>
      <c r="Z9" s="7"/>
      <c r="AA9" s="7"/>
      <c r="AB9" s="7">
        <v>90</v>
      </c>
      <c r="AC9" s="13" t="s">
        <v>16</v>
      </c>
      <c r="AD9" s="8"/>
      <c r="AE9" s="8"/>
      <c r="AF9" s="3">
        <v>100</v>
      </c>
      <c r="AG9" s="8" t="s">
        <v>17</v>
      </c>
      <c r="AH9" s="3">
        <v>90</v>
      </c>
      <c r="AI9" s="3">
        <v>95</v>
      </c>
      <c r="AJ9" s="3">
        <f t="shared" ref="AJ9:AJ14" si="3">AVERAGE(AH9:AI9)</f>
        <v>92.5</v>
      </c>
      <c r="AK9" s="14" t="s">
        <v>8</v>
      </c>
      <c r="AL9" s="3">
        <v>70</v>
      </c>
      <c r="AM9" s="3">
        <v>80</v>
      </c>
      <c r="AN9" s="3">
        <f>AVERAGE(AL9:AM9)</f>
        <v>75</v>
      </c>
      <c r="AO9" s="8" t="s">
        <v>9</v>
      </c>
      <c r="AR9" s="18" t="s">
        <v>1</v>
      </c>
      <c r="AS9" s="20">
        <v>95</v>
      </c>
      <c r="AT9" s="21">
        <f t="shared" si="2"/>
        <v>90.722222222222229</v>
      </c>
    </row>
    <row r="10" spans="1:47" s="10" customFormat="1" ht="18.75" x14ac:dyDescent="0.3">
      <c r="A10" s="17" t="s">
        <v>2</v>
      </c>
      <c r="B10" s="3">
        <v>99</v>
      </c>
      <c r="C10" s="3">
        <v>100</v>
      </c>
      <c r="D10" s="7">
        <f t="shared" si="0"/>
        <v>99.5</v>
      </c>
      <c r="E10" s="11" t="s">
        <v>13</v>
      </c>
      <c r="F10" s="12">
        <v>90</v>
      </c>
      <c r="G10" s="12">
        <v>100</v>
      </c>
      <c r="H10" s="12">
        <f>AVERAGE(F10:G10)</f>
        <v>95</v>
      </c>
      <c r="I10" s="8" t="s">
        <v>19</v>
      </c>
      <c r="J10" s="3">
        <v>90</v>
      </c>
      <c r="K10" s="3">
        <v>95</v>
      </c>
      <c r="L10" s="7">
        <f t="shared" si="1"/>
        <v>92.5</v>
      </c>
      <c r="M10" s="8" t="s">
        <v>11</v>
      </c>
      <c r="N10" s="8"/>
      <c r="O10" s="8"/>
      <c r="P10" s="8"/>
      <c r="Q10" s="8" t="s">
        <v>9</v>
      </c>
      <c r="R10" s="7">
        <v>90</v>
      </c>
      <c r="S10" s="7">
        <v>100</v>
      </c>
      <c r="T10" s="7">
        <v>95</v>
      </c>
      <c r="U10" s="8" t="s">
        <v>8</v>
      </c>
      <c r="V10" s="3"/>
      <c r="W10" s="3"/>
      <c r="X10" s="3">
        <v>100</v>
      </c>
      <c r="Y10" s="8" t="s">
        <v>9</v>
      </c>
      <c r="Z10" s="3"/>
      <c r="AA10" s="3"/>
      <c r="AB10" s="3">
        <v>95</v>
      </c>
      <c r="AC10" s="13" t="s">
        <v>16</v>
      </c>
      <c r="AD10" s="8"/>
      <c r="AE10" s="8"/>
      <c r="AF10" s="3">
        <v>100</v>
      </c>
      <c r="AG10" s="8" t="s">
        <v>17</v>
      </c>
      <c r="AH10" s="3">
        <v>80</v>
      </c>
      <c r="AI10" s="3">
        <v>90</v>
      </c>
      <c r="AJ10" s="3">
        <f t="shared" si="3"/>
        <v>85</v>
      </c>
      <c r="AK10" s="13" t="s">
        <v>22</v>
      </c>
      <c r="AL10" s="3">
        <v>20</v>
      </c>
      <c r="AM10" s="3">
        <v>30</v>
      </c>
      <c r="AN10" s="3">
        <f t="shared" ref="AN10:AN14" si="4">AVERAGE(AL10:AM10)</f>
        <v>25</v>
      </c>
      <c r="AO10" s="8" t="s">
        <v>9</v>
      </c>
      <c r="AR10" s="18" t="s">
        <v>2</v>
      </c>
      <c r="AS10" s="20">
        <v>96</v>
      </c>
      <c r="AT10" s="21">
        <f t="shared" si="2"/>
        <v>87.444444444444443</v>
      </c>
    </row>
    <row r="11" spans="1:47" s="10" customFormat="1" ht="18.75" customHeight="1" x14ac:dyDescent="0.3">
      <c r="A11" s="17" t="s">
        <v>3</v>
      </c>
      <c r="B11" s="3">
        <v>99</v>
      </c>
      <c r="C11" s="3">
        <v>100</v>
      </c>
      <c r="D11" s="7">
        <f t="shared" si="0"/>
        <v>99.5</v>
      </c>
      <c r="E11" s="11" t="s">
        <v>13</v>
      </c>
      <c r="F11" s="12">
        <v>95</v>
      </c>
      <c r="G11" s="12">
        <v>100</v>
      </c>
      <c r="H11" s="12">
        <f t="shared" ref="H11:H14" si="5">AVERAGE(F11:G11)</f>
        <v>97.5</v>
      </c>
      <c r="I11" s="8" t="s">
        <v>19</v>
      </c>
      <c r="J11" s="3">
        <v>95</v>
      </c>
      <c r="K11" s="3">
        <v>98</v>
      </c>
      <c r="L11" s="7">
        <f t="shared" si="1"/>
        <v>96.5</v>
      </c>
      <c r="M11" s="8" t="s">
        <v>11</v>
      </c>
      <c r="N11" s="8"/>
      <c r="O11" s="8"/>
      <c r="P11" s="8"/>
      <c r="Q11" s="8" t="s">
        <v>9</v>
      </c>
      <c r="R11" s="7">
        <v>90</v>
      </c>
      <c r="S11" s="7">
        <v>100</v>
      </c>
      <c r="T11" s="7">
        <v>95</v>
      </c>
      <c r="U11" s="8" t="s">
        <v>8</v>
      </c>
      <c r="V11" s="3"/>
      <c r="W11" s="3"/>
      <c r="X11" s="3">
        <v>100</v>
      </c>
      <c r="Y11" s="8" t="s">
        <v>9</v>
      </c>
      <c r="Z11" s="3"/>
      <c r="AA11" s="3"/>
      <c r="AB11" s="3">
        <v>98</v>
      </c>
      <c r="AC11" s="13" t="s">
        <v>16</v>
      </c>
      <c r="AD11" s="8"/>
      <c r="AE11" s="8"/>
      <c r="AF11" s="3">
        <v>100</v>
      </c>
      <c r="AG11" s="8" t="s">
        <v>17</v>
      </c>
      <c r="AH11" s="3">
        <v>95</v>
      </c>
      <c r="AI11" s="3">
        <v>100</v>
      </c>
      <c r="AJ11" s="3">
        <f t="shared" si="3"/>
        <v>97.5</v>
      </c>
      <c r="AK11" s="13" t="s">
        <v>23</v>
      </c>
      <c r="AL11" s="3">
        <v>10</v>
      </c>
      <c r="AM11" s="3">
        <v>20</v>
      </c>
      <c r="AN11" s="3">
        <f t="shared" si="4"/>
        <v>15</v>
      </c>
      <c r="AO11" s="8" t="s">
        <v>9</v>
      </c>
      <c r="AR11" s="18" t="s">
        <v>3</v>
      </c>
      <c r="AS11" s="18">
        <v>91</v>
      </c>
      <c r="AT11" s="21">
        <f t="shared" si="2"/>
        <v>88.777777777777771</v>
      </c>
      <c r="AU11" s="4"/>
    </row>
    <row r="12" spans="1:47" s="10" customFormat="1" ht="20.25" customHeight="1" x14ac:dyDescent="0.3">
      <c r="A12" s="17" t="s">
        <v>4</v>
      </c>
      <c r="B12" s="3">
        <v>95</v>
      </c>
      <c r="C12" s="3">
        <v>100</v>
      </c>
      <c r="D12" s="7">
        <f t="shared" si="0"/>
        <v>97.5</v>
      </c>
      <c r="E12" s="11" t="s">
        <v>13</v>
      </c>
      <c r="F12" s="12">
        <v>10</v>
      </c>
      <c r="G12" s="12">
        <v>30</v>
      </c>
      <c r="H12" s="12">
        <f t="shared" si="5"/>
        <v>20</v>
      </c>
      <c r="I12" s="8" t="s">
        <v>20</v>
      </c>
      <c r="J12" s="3">
        <v>10</v>
      </c>
      <c r="K12" s="3">
        <v>15</v>
      </c>
      <c r="L12" s="7">
        <f t="shared" si="1"/>
        <v>12.5</v>
      </c>
      <c r="M12" s="8" t="s">
        <v>10</v>
      </c>
      <c r="N12" s="8"/>
      <c r="O12" s="8"/>
      <c r="P12" s="8"/>
      <c r="Q12" s="8" t="s">
        <v>9</v>
      </c>
      <c r="R12" s="7">
        <v>90</v>
      </c>
      <c r="S12" s="7">
        <v>100</v>
      </c>
      <c r="T12" s="7">
        <v>95</v>
      </c>
      <c r="U12" s="8" t="s">
        <v>21</v>
      </c>
      <c r="V12" s="3"/>
      <c r="W12" s="3"/>
      <c r="X12" s="3">
        <v>100</v>
      </c>
      <c r="Y12" s="8" t="s">
        <v>9</v>
      </c>
      <c r="Z12" s="3"/>
      <c r="AA12" s="3"/>
      <c r="AB12" s="3">
        <v>90</v>
      </c>
      <c r="AC12" s="13" t="s">
        <v>16</v>
      </c>
      <c r="AD12" s="8"/>
      <c r="AE12" s="8"/>
      <c r="AF12" s="3">
        <v>80</v>
      </c>
      <c r="AG12" s="8" t="s">
        <v>17</v>
      </c>
      <c r="AH12" s="3">
        <v>95</v>
      </c>
      <c r="AI12" s="3">
        <v>100</v>
      </c>
      <c r="AJ12" s="3">
        <f t="shared" si="3"/>
        <v>97.5</v>
      </c>
      <c r="AK12" s="13" t="s">
        <v>23</v>
      </c>
      <c r="AL12" s="3">
        <v>10</v>
      </c>
      <c r="AM12" s="3">
        <v>15</v>
      </c>
      <c r="AN12" s="3">
        <f t="shared" si="4"/>
        <v>12.5</v>
      </c>
      <c r="AO12" s="8" t="s">
        <v>9</v>
      </c>
      <c r="AR12" s="18" t="s">
        <v>4</v>
      </c>
      <c r="AS12" s="20">
        <v>96</v>
      </c>
      <c r="AT12" s="21">
        <f t="shared" si="2"/>
        <v>67.222222222222229</v>
      </c>
    </row>
    <row r="13" spans="1:47" s="10" customFormat="1" ht="21" customHeight="1" x14ac:dyDescent="0.3">
      <c r="A13" s="17" t="s">
        <v>5</v>
      </c>
      <c r="B13" s="3">
        <v>99</v>
      </c>
      <c r="C13" s="3">
        <v>100</v>
      </c>
      <c r="D13" s="7">
        <f t="shared" si="0"/>
        <v>99.5</v>
      </c>
      <c r="E13" s="11" t="s">
        <v>13</v>
      </c>
      <c r="F13" s="12">
        <v>95</v>
      </c>
      <c r="G13" s="12">
        <v>100</v>
      </c>
      <c r="H13" s="12">
        <f t="shared" si="5"/>
        <v>97.5</v>
      </c>
      <c r="I13" s="8" t="s">
        <v>19</v>
      </c>
      <c r="J13" s="3">
        <v>90</v>
      </c>
      <c r="K13" s="3">
        <v>95</v>
      </c>
      <c r="L13" s="7">
        <f t="shared" si="1"/>
        <v>92.5</v>
      </c>
      <c r="M13" s="8" t="s">
        <v>11</v>
      </c>
      <c r="N13" s="8"/>
      <c r="O13" s="8"/>
      <c r="P13" s="8"/>
      <c r="Q13" s="8" t="s">
        <v>9</v>
      </c>
      <c r="R13" s="7">
        <v>90</v>
      </c>
      <c r="S13" s="7">
        <v>100</v>
      </c>
      <c r="T13" s="7">
        <v>95</v>
      </c>
      <c r="U13" s="8" t="s">
        <v>21</v>
      </c>
      <c r="V13" s="3"/>
      <c r="W13" s="3"/>
      <c r="X13" s="3">
        <v>100</v>
      </c>
      <c r="Y13" s="8" t="s">
        <v>9</v>
      </c>
      <c r="Z13" s="3"/>
      <c r="AA13" s="3"/>
      <c r="AB13" s="3">
        <v>95</v>
      </c>
      <c r="AC13" s="13" t="s">
        <v>16</v>
      </c>
      <c r="AD13" s="8"/>
      <c r="AE13" s="8"/>
      <c r="AF13" s="3">
        <v>100</v>
      </c>
      <c r="AG13" s="8" t="s">
        <v>17</v>
      </c>
      <c r="AH13" s="3">
        <v>95</v>
      </c>
      <c r="AI13" s="3">
        <v>100</v>
      </c>
      <c r="AJ13" s="3">
        <f t="shared" si="3"/>
        <v>97.5</v>
      </c>
      <c r="AK13" s="14" t="s">
        <v>24</v>
      </c>
      <c r="AL13" s="3">
        <v>5</v>
      </c>
      <c r="AM13" s="3">
        <v>10</v>
      </c>
      <c r="AN13" s="3">
        <f t="shared" si="4"/>
        <v>7.5</v>
      </c>
      <c r="AO13" s="8" t="s">
        <v>9</v>
      </c>
      <c r="AR13" s="18" t="s">
        <v>5</v>
      </c>
      <c r="AS13" s="20">
        <v>95.5</v>
      </c>
      <c r="AT13" s="21">
        <f t="shared" si="2"/>
        <v>87.166666666666671</v>
      </c>
    </row>
    <row r="14" spans="1:47" s="10" customFormat="1" ht="19.5" customHeight="1" x14ac:dyDescent="0.3">
      <c r="A14" s="17" t="s">
        <v>6</v>
      </c>
      <c r="B14" s="3">
        <v>98</v>
      </c>
      <c r="C14" s="3">
        <v>100</v>
      </c>
      <c r="D14" s="12">
        <f t="shared" si="0"/>
        <v>99</v>
      </c>
      <c r="E14" s="11" t="s">
        <v>13</v>
      </c>
      <c r="F14" s="12">
        <v>85</v>
      </c>
      <c r="G14" s="12">
        <v>95</v>
      </c>
      <c r="H14" s="12">
        <f t="shared" si="5"/>
        <v>90</v>
      </c>
      <c r="I14" s="8" t="s">
        <v>18</v>
      </c>
      <c r="J14" s="3">
        <v>85</v>
      </c>
      <c r="K14" s="3">
        <v>90</v>
      </c>
      <c r="L14" s="3">
        <f t="shared" si="1"/>
        <v>87.5</v>
      </c>
      <c r="M14" s="13" t="s">
        <v>8</v>
      </c>
      <c r="N14" s="8"/>
      <c r="O14" s="8"/>
      <c r="P14" s="8"/>
      <c r="Q14" s="8" t="s">
        <v>9</v>
      </c>
      <c r="R14" s="3">
        <v>90</v>
      </c>
      <c r="S14" s="3">
        <v>100</v>
      </c>
      <c r="T14" s="3">
        <v>95</v>
      </c>
      <c r="U14" s="8" t="s">
        <v>21</v>
      </c>
      <c r="V14" s="3"/>
      <c r="W14" s="3"/>
      <c r="X14" s="3">
        <v>100</v>
      </c>
      <c r="Y14" s="8" t="s">
        <v>9</v>
      </c>
      <c r="Z14" s="3"/>
      <c r="AA14" s="3"/>
      <c r="AB14" s="3">
        <v>92</v>
      </c>
      <c r="AC14" s="13" t="s">
        <v>16</v>
      </c>
      <c r="AD14" s="8"/>
      <c r="AE14" s="8"/>
      <c r="AF14" s="3">
        <v>80</v>
      </c>
      <c r="AG14" s="8" t="s">
        <v>17</v>
      </c>
      <c r="AH14" s="3">
        <v>95</v>
      </c>
      <c r="AI14" s="3">
        <v>100</v>
      </c>
      <c r="AJ14" s="3">
        <f t="shared" si="3"/>
        <v>97.5</v>
      </c>
      <c r="AK14" s="14" t="s">
        <v>24</v>
      </c>
      <c r="AL14" s="3">
        <v>5</v>
      </c>
      <c r="AM14" s="3">
        <v>10</v>
      </c>
      <c r="AN14" s="3">
        <f t="shared" si="4"/>
        <v>7.5</v>
      </c>
      <c r="AO14" s="8" t="s">
        <v>9</v>
      </c>
      <c r="AR14" s="18" t="s">
        <v>6</v>
      </c>
      <c r="AS14" s="20">
        <v>14.25</v>
      </c>
      <c r="AT14" s="21">
        <f t="shared" si="2"/>
        <v>83.166666666666671</v>
      </c>
    </row>
    <row r="15" spans="1:47" ht="18.75" x14ac:dyDescent="0.3">
      <c r="A15" s="19" t="s">
        <v>33</v>
      </c>
      <c r="B15" s="19"/>
      <c r="C15" s="19"/>
      <c r="D15" s="19">
        <f t="shared" ref="D15:AN15" si="6">AVERAGE(D5:D14)</f>
        <v>98.1</v>
      </c>
      <c r="E15" s="19"/>
      <c r="F15" s="19"/>
      <c r="G15" s="19"/>
      <c r="H15" s="19">
        <f t="shared" si="6"/>
        <v>90</v>
      </c>
      <c r="I15" s="19"/>
      <c r="J15" s="19"/>
      <c r="K15" s="19"/>
      <c r="L15" s="19">
        <f t="shared" si="6"/>
        <v>77.05</v>
      </c>
      <c r="M15" s="19"/>
      <c r="N15" s="19"/>
      <c r="O15" s="19"/>
      <c r="P15" s="19"/>
      <c r="Q15" s="19"/>
      <c r="R15" s="19"/>
      <c r="S15" s="19"/>
      <c r="T15" s="19">
        <f t="shared" si="6"/>
        <v>95</v>
      </c>
      <c r="U15" s="19"/>
      <c r="V15" s="19"/>
      <c r="W15" s="19"/>
      <c r="X15" s="19">
        <f t="shared" si="6"/>
        <v>96</v>
      </c>
      <c r="Y15" s="19"/>
      <c r="Z15" s="19"/>
      <c r="AA15" s="19"/>
      <c r="AB15" s="19">
        <f t="shared" si="6"/>
        <v>91</v>
      </c>
      <c r="AC15" s="19"/>
      <c r="AD15" s="19"/>
      <c r="AE15" s="19"/>
      <c r="AF15" s="19">
        <f t="shared" si="6"/>
        <v>96</v>
      </c>
      <c r="AG15" s="19"/>
      <c r="AH15" s="19"/>
      <c r="AI15" s="19"/>
      <c r="AJ15" s="19">
        <f t="shared" si="6"/>
        <v>95.5</v>
      </c>
      <c r="AK15" s="19"/>
      <c r="AL15" s="19"/>
      <c r="AM15" s="19"/>
      <c r="AN15" s="19">
        <f t="shared" si="6"/>
        <v>14.25</v>
      </c>
      <c r="AO15" s="19"/>
    </row>
    <row r="16" spans="1:47" x14ac:dyDescent="0.25">
      <c r="AL16" s="2"/>
      <c r="AM16" s="2"/>
      <c r="AN16" s="2"/>
    </row>
    <row r="25" spans="44:45" x14ac:dyDescent="0.25">
      <c r="AR25" t="s">
        <v>7</v>
      </c>
      <c r="AS25" t="s">
        <v>34</v>
      </c>
    </row>
    <row r="26" spans="44:45" x14ac:dyDescent="0.25">
      <c r="AR26" t="s">
        <v>6</v>
      </c>
      <c r="AS26">
        <v>14.25</v>
      </c>
    </row>
    <row r="27" spans="44:45" x14ac:dyDescent="0.25">
      <c r="AR27" t="s">
        <v>0</v>
      </c>
      <c r="AS27">
        <v>77.05</v>
      </c>
    </row>
    <row r="28" spans="44:45" x14ac:dyDescent="0.25">
      <c r="AR28" t="s">
        <v>30</v>
      </c>
      <c r="AS28">
        <v>90</v>
      </c>
    </row>
    <row r="29" spans="44:45" x14ac:dyDescent="0.25">
      <c r="AR29" t="s">
        <v>3</v>
      </c>
      <c r="AS29">
        <v>91</v>
      </c>
    </row>
    <row r="30" spans="44:45" x14ac:dyDescent="0.25">
      <c r="AR30" t="s">
        <v>1</v>
      </c>
      <c r="AS30">
        <v>95</v>
      </c>
    </row>
    <row r="31" spans="44:45" x14ac:dyDescent="0.25">
      <c r="AR31" t="s">
        <v>5</v>
      </c>
      <c r="AS31">
        <v>95.5</v>
      </c>
    </row>
    <row r="32" spans="44:45" x14ac:dyDescent="0.25">
      <c r="AR32" t="s">
        <v>2</v>
      </c>
      <c r="AS32">
        <v>96</v>
      </c>
    </row>
    <row r="33" spans="44:45" x14ac:dyDescent="0.25">
      <c r="AR33" t="s">
        <v>4</v>
      </c>
      <c r="AS33">
        <v>96</v>
      </c>
    </row>
    <row r="34" spans="44:45" x14ac:dyDescent="0.25">
      <c r="AR34" t="s">
        <v>25</v>
      </c>
      <c r="AS34">
        <v>98.1</v>
      </c>
    </row>
    <row r="35" spans="44:45" x14ac:dyDescent="0.25">
      <c r="AR35" t="s">
        <v>117</v>
      </c>
    </row>
    <row r="39" spans="44:45" x14ac:dyDescent="0.25">
      <c r="AR39" t="s">
        <v>7</v>
      </c>
      <c r="AS39" t="s">
        <v>35</v>
      </c>
    </row>
    <row r="40" spans="44:45" x14ac:dyDescent="0.25">
      <c r="AR40" t="s">
        <v>4</v>
      </c>
      <c r="AS40" s="22">
        <v>67.222222222222229</v>
      </c>
    </row>
    <row r="41" spans="44:45" x14ac:dyDescent="0.25">
      <c r="AR41" t="s">
        <v>0</v>
      </c>
      <c r="AS41" s="22">
        <v>77.666666666666671</v>
      </c>
    </row>
    <row r="42" spans="44:45" x14ac:dyDescent="0.25">
      <c r="AR42" t="s">
        <v>6</v>
      </c>
      <c r="AS42" s="22">
        <v>83.166666666666671</v>
      </c>
    </row>
    <row r="43" spans="44:45" x14ac:dyDescent="0.25">
      <c r="AR43" t="s">
        <v>30</v>
      </c>
      <c r="AS43" s="22">
        <v>84.611111111111114</v>
      </c>
    </row>
    <row r="44" spans="44:45" x14ac:dyDescent="0.25">
      <c r="AR44" t="s">
        <v>25</v>
      </c>
      <c r="AS44" s="22">
        <v>84.888888888888886</v>
      </c>
    </row>
    <row r="45" spans="44:45" x14ac:dyDescent="0.25">
      <c r="AR45" t="s">
        <v>117</v>
      </c>
      <c r="AS45" s="22">
        <v>84.888888888888886</v>
      </c>
    </row>
    <row r="46" spans="44:45" x14ac:dyDescent="0.25">
      <c r="AR46" t="s">
        <v>5</v>
      </c>
      <c r="AS46" s="22">
        <v>87.166666666666671</v>
      </c>
    </row>
    <row r="47" spans="44:45" x14ac:dyDescent="0.25">
      <c r="AR47" t="s">
        <v>2</v>
      </c>
      <c r="AS47" s="22">
        <v>87.444444444444443</v>
      </c>
    </row>
    <row r="48" spans="44:45" x14ac:dyDescent="0.25">
      <c r="AR48" t="s">
        <v>3</v>
      </c>
      <c r="AS48" s="22">
        <v>88.777777777777771</v>
      </c>
    </row>
    <row r="49" spans="44:45" x14ac:dyDescent="0.25">
      <c r="AR49" t="s">
        <v>1</v>
      </c>
      <c r="AS49" s="22">
        <v>90.722222222222229</v>
      </c>
    </row>
  </sheetData>
  <sortState xmlns:xlrd2="http://schemas.microsoft.com/office/spreadsheetml/2017/richdata2" ref="AR26:AS35">
    <sortCondition ref="AS26:AS35"/>
  </sortState>
  <mergeCells count="1">
    <mergeCell ref="B2:AO2"/>
  </mergeCells>
  <pageMargins left="0.7" right="0.7" top="0.75" bottom="0.75" header="0.3" footer="0.3"/>
  <pageSetup paperSize="8" scale="5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E711-4986-4AC3-BB3C-FA11F3C5DC12}">
  <sheetPr>
    <pageSetUpPr fitToPage="1"/>
  </sheetPr>
  <dimension ref="A2:AU49"/>
  <sheetViews>
    <sheetView zoomScale="85" zoomScaleNormal="85" workbookViewId="0">
      <selection activeCell="T9" sqref="T9"/>
    </sheetView>
  </sheetViews>
  <sheetFormatPr defaultRowHeight="15" x14ac:dyDescent="0.25"/>
  <cols>
    <col min="1" max="1" width="26.7109375" bestFit="1" customWidth="1"/>
    <col min="2" max="2" width="9.28515625" customWidth="1"/>
    <col min="3" max="3" width="11.5703125" customWidth="1"/>
    <col min="4" max="4" width="9.42578125" customWidth="1"/>
    <col min="5" max="5" width="36.28515625" customWidth="1"/>
    <col min="6" max="6" width="9.140625" customWidth="1"/>
    <col min="7" max="7" width="9.5703125" customWidth="1"/>
    <col min="8" max="8" width="10" style="30" customWidth="1"/>
    <col min="9" max="9" width="41" customWidth="1"/>
    <col min="10" max="10" width="10.140625" customWidth="1"/>
    <col min="11" max="11" width="12.85546875" customWidth="1"/>
    <col min="12" max="12" width="11.140625" customWidth="1"/>
    <col min="13" max="13" width="22.5703125" customWidth="1"/>
    <col min="14" max="14" width="10.85546875" customWidth="1"/>
    <col min="15" max="15" width="10.5703125" customWidth="1"/>
    <col min="16" max="16" width="10.42578125" customWidth="1"/>
    <col min="17" max="17" width="17.7109375" customWidth="1"/>
    <col min="18" max="18" width="8.5703125" customWidth="1"/>
    <col min="19" max="19" width="9.7109375" customWidth="1"/>
    <col min="20" max="20" width="10.5703125" customWidth="1"/>
    <col min="21" max="21" width="29.28515625" bestFit="1" customWidth="1"/>
    <col min="22" max="22" width="9.140625" customWidth="1"/>
    <col min="23" max="23" width="9.28515625" customWidth="1"/>
    <col min="24" max="24" width="9.85546875" customWidth="1"/>
    <col min="25" max="25" width="19" customWidth="1"/>
    <col min="26" max="26" width="10.5703125" customWidth="1"/>
    <col min="27" max="27" width="11.85546875" customWidth="1"/>
    <col min="28" max="28" width="11" customWidth="1"/>
    <col min="29" max="29" width="19.85546875" bestFit="1" customWidth="1"/>
    <col min="30" max="30" width="9" bestFit="1" customWidth="1"/>
    <col min="31" max="32" width="9" customWidth="1"/>
    <col min="33" max="33" width="29.5703125" customWidth="1"/>
    <col min="34" max="34" width="10.140625" style="1" customWidth="1"/>
    <col min="35" max="35" width="9.7109375" style="1" customWidth="1"/>
    <col min="36" max="36" width="10.7109375" style="1" customWidth="1"/>
    <col min="37" max="37" width="33.85546875" customWidth="1"/>
    <col min="38" max="38" width="10" style="1" customWidth="1"/>
    <col min="39" max="39" width="10.42578125" style="1" customWidth="1"/>
    <col min="40" max="40" width="9.28515625" style="1" customWidth="1"/>
    <col min="41" max="41" width="20.7109375" customWidth="1"/>
    <col min="44" max="44" width="32.85546875"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31.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10" customFormat="1" ht="18.75" x14ac:dyDescent="0.3">
      <c r="A5" s="16" t="s">
        <v>25</v>
      </c>
      <c r="B5" s="7">
        <v>90</v>
      </c>
      <c r="C5" s="7">
        <v>95</v>
      </c>
      <c r="D5" s="7">
        <f>AVERAGE(B5:C5)</f>
        <v>92.5</v>
      </c>
      <c r="E5" s="43" t="s">
        <v>36</v>
      </c>
      <c r="F5" s="3"/>
      <c r="G5" s="3"/>
      <c r="H5" s="27">
        <v>100</v>
      </c>
      <c r="I5" s="8" t="s">
        <v>37</v>
      </c>
      <c r="J5" s="7">
        <v>85</v>
      </c>
      <c r="K5" s="7">
        <v>90</v>
      </c>
      <c r="L5" s="7">
        <f t="shared" ref="L5:L14" si="0">AVERAGE(J5:K5)</f>
        <v>87.5</v>
      </c>
      <c r="M5" s="8" t="s">
        <v>38</v>
      </c>
      <c r="N5" s="9"/>
      <c r="O5" s="9"/>
      <c r="P5" s="9"/>
      <c r="Q5" s="8" t="s">
        <v>11</v>
      </c>
      <c r="R5" s="7"/>
      <c r="S5" s="7"/>
      <c r="T5" s="7">
        <v>70</v>
      </c>
      <c r="U5" s="23" t="s">
        <v>39</v>
      </c>
      <c r="V5" s="7"/>
      <c r="W5" s="7"/>
      <c r="X5" s="7">
        <v>100</v>
      </c>
      <c r="Y5" s="9" t="s">
        <v>11</v>
      </c>
      <c r="Z5" s="7"/>
      <c r="AA5" s="7"/>
      <c r="AB5" s="7">
        <v>30</v>
      </c>
      <c r="AC5" t="s">
        <v>40</v>
      </c>
      <c r="AD5" s="9">
        <v>70</v>
      </c>
      <c r="AE5" s="9">
        <v>80</v>
      </c>
      <c r="AF5" s="7">
        <f t="shared" ref="AF5:AF14" si="1">AVERAGE(AD5:AE5)</f>
        <v>75</v>
      </c>
      <c r="AG5" s="8" t="s">
        <v>41</v>
      </c>
      <c r="AH5" s="7">
        <v>95</v>
      </c>
      <c r="AI5" s="7">
        <v>100</v>
      </c>
      <c r="AJ5" s="7">
        <f>AVERAGE(AH5:AI5)</f>
        <v>97.5</v>
      </c>
      <c r="AK5" s="25" t="s">
        <v>42</v>
      </c>
      <c r="AL5" s="7"/>
      <c r="AM5" s="7"/>
      <c r="AN5" s="7">
        <v>0</v>
      </c>
      <c r="AO5" s="8" t="s">
        <v>10</v>
      </c>
      <c r="AR5" s="18" t="s">
        <v>25</v>
      </c>
      <c r="AS5" s="21">
        <f>D15</f>
        <v>96.5</v>
      </c>
      <c r="AT5" s="21">
        <f>AVERAGE(D5,H5,L5,T5,X5,AB5,AF5,AJ5,AN5)</f>
        <v>72.5</v>
      </c>
    </row>
    <row r="6" spans="1:47" s="10" customFormat="1" ht="18.75" x14ac:dyDescent="0.3">
      <c r="A6" s="17" t="s">
        <v>30</v>
      </c>
      <c r="B6" s="3">
        <v>95</v>
      </c>
      <c r="C6" s="3">
        <v>100</v>
      </c>
      <c r="D6" s="7">
        <f t="shared" ref="D6:D14" si="2">AVERAGE(B6:C6)</f>
        <v>97.5</v>
      </c>
      <c r="E6" s="24" t="s">
        <v>43</v>
      </c>
      <c r="F6" s="12"/>
      <c r="G6" s="12"/>
      <c r="H6" s="28">
        <v>100</v>
      </c>
      <c r="I6" s="133" t="s">
        <v>44</v>
      </c>
      <c r="J6" s="3">
        <v>95</v>
      </c>
      <c r="K6" s="3">
        <v>98</v>
      </c>
      <c r="L6" s="7">
        <f t="shared" si="0"/>
        <v>96.5</v>
      </c>
      <c r="M6" t="s">
        <v>45</v>
      </c>
      <c r="N6" s="8"/>
      <c r="O6" s="8"/>
      <c r="P6" s="8"/>
      <c r="Q6" s="8" t="s">
        <v>11</v>
      </c>
      <c r="R6" s="7"/>
      <c r="S6" s="7"/>
      <c r="T6" s="7">
        <v>50</v>
      </c>
      <c r="U6" s="8" t="s">
        <v>38</v>
      </c>
      <c r="V6" s="3"/>
      <c r="W6" s="3"/>
      <c r="X6" s="3">
        <v>100</v>
      </c>
      <c r="Y6" s="9" t="s">
        <v>11</v>
      </c>
      <c r="Z6" s="3"/>
      <c r="AA6" s="3"/>
      <c r="AB6" s="3">
        <v>60</v>
      </c>
      <c r="AC6" s="13" t="s">
        <v>46</v>
      </c>
      <c r="AD6" s="8">
        <v>80</v>
      </c>
      <c r="AE6" s="8">
        <v>90</v>
      </c>
      <c r="AF6" s="3">
        <f t="shared" si="1"/>
        <v>85</v>
      </c>
      <c r="AG6" s="8" t="s">
        <v>41</v>
      </c>
      <c r="AH6" s="7">
        <v>95</v>
      </c>
      <c r="AI6" s="3">
        <v>100</v>
      </c>
      <c r="AJ6" s="3">
        <f>AVERAGE(AH6:AI6)</f>
        <v>97.5</v>
      </c>
      <c r="AK6" s="25" t="s">
        <v>42</v>
      </c>
      <c r="AL6" s="3"/>
      <c r="AM6" s="3"/>
      <c r="AN6" s="3">
        <v>0</v>
      </c>
      <c r="AO6" s="8" t="s">
        <v>10</v>
      </c>
      <c r="AR6" s="18" t="s">
        <v>30</v>
      </c>
      <c r="AS6" s="21">
        <f>H15</f>
        <v>100</v>
      </c>
      <c r="AT6" s="21">
        <f t="shared" ref="AT6:AT14" si="3">AVERAGE(D6,H6,L6,T6,X6,AB6,AF6,AJ6,AN6)</f>
        <v>76.277777777777771</v>
      </c>
    </row>
    <row r="7" spans="1:47" s="10" customFormat="1" ht="18.75" x14ac:dyDescent="0.3">
      <c r="A7" s="17" t="s">
        <v>0</v>
      </c>
      <c r="B7" s="3">
        <v>95</v>
      </c>
      <c r="C7" s="3">
        <v>100</v>
      </c>
      <c r="D7" s="7">
        <f t="shared" si="2"/>
        <v>97.5</v>
      </c>
      <c r="E7" s="11" t="s">
        <v>50</v>
      </c>
      <c r="F7" s="12"/>
      <c r="G7" s="12"/>
      <c r="H7" s="28">
        <v>100</v>
      </c>
      <c r="I7" s="8" t="s">
        <v>19</v>
      </c>
      <c r="J7" s="3">
        <v>90</v>
      </c>
      <c r="K7" s="3">
        <v>95</v>
      </c>
      <c r="L7" s="7">
        <f t="shared" si="0"/>
        <v>92.5</v>
      </c>
      <c r="M7" s="47" t="s">
        <v>49</v>
      </c>
      <c r="N7" s="8"/>
      <c r="O7" s="8"/>
      <c r="P7" s="8"/>
      <c r="Q7" s="8" t="s">
        <v>11</v>
      </c>
      <c r="R7" s="7"/>
      <c r="S7" s="7"/>
      <c r="T7" s="7">
        <v>65</v>
      </c>
      <c r="U7" s="23" t="s">
        <v>48</v>
      </c>
      <c r="V7" s="3"/>
      <c r="W7" s="3"/>
      <c r="X7" s="3">
        <v>100</v>
      </c>
      <c r="Y7" s="9" t="s">
        <v>11</v>
      </c>
      <c r="Z7" s="3"/>
      <c r="AA7" s="3"/>
      <c r="AB7" s="3">
        <v>40</v>
      </c>
      <c r="AC7" s="13" t="s">
        <v>47</v>
      </c>
      <c r="AD7" s="8">
        <v>60</v>
      </c>
      <c r="AE7" s="8">
        <v>70</v>
      </c>
      <c r="AF7" s="3">
        <f t="shared" si="1"/>
        <v>65</v>
      </c>
      <c r="AG7" s="8" t="s">
        <v>41</v>
      </c>
      <c r="AH7" s="7">
        <v>95</v>
      </c>
      <c r="AI7" s="3">
        <v>100</v>
      </c>
      <c r="AJ7" s="3">
        <f>AVERAGE(AH7:AI7)</f>
        <v>97.5</v>
      </c>
      <c r="AK7" s="25" t="s">
        <v>42</v>
      </c>
      <c r="AL7" s="3"/>
      <c r="AM7" s="3"/>
      <c r="AN7" s="3">
        <v>0</v>
      </c>
      <c r="AO7" s="8" t="s">
        <v>10</v>
      </c>
      <c r="AR7" s="18" t="s">
        <v>0</v>
      </c>
      <c r="AS7" s="21">
        <f>L15</f>
        <v>92.7</v>
      </c>
      <c r="AT7" s="21">
        <f t="shared" si="3"/>
        <v>73.055555555555557</v>
      </c>
    </row>
    <row r="8" spans="1:47" s="10" customFormat="1" ht="18.75" x14ac:dyDescent="0.3">
      <c r="A8" s="17" t="s">
        <v>117</v>
      </c>
      <c r="B8" s="3">
        <v>90</v>
      </c>
      <c r="C8" s="3">
        <v>95</v>
      </c>
      <c r="D8" s="7">
        <f t="shared" si="2"/>
        <v>92.5</v>
      </c>
      <c r="E8" s="11" t="s">
        <v>50</v>
      </c>
      <c r="F8" s="12"/>
      <c r="G8" s="12"/>
      <c r="H8" s="28">
        <v>100</v>
      </c>
      <c r="I8" t="s">
        <v>44</v>
      </c>
      <c r="J8" s="3">
        <v>95</v>
      </c>
      <c r="K8" s="3">
        <v>98</v>
      </c>
      <c r="L8" s="7">
        <f t="shared" si="0"/>
        <v>96.5</v>
      </c>
      <c r="M8" s="8" t="s">
        <v>38</v>
      </c>
      <c r="N8" s="8"/>
      <c r="O8" s="8"/>
      <c r="P8" s="8"/>
      <c r="Q8" s="47" t="s">
        <v>11</v>
      </c>
      <c r="R8" s="7"/>
      <c r="S8" s="7"/>
      <c r="T8" s="7">
        <v>70</v>
      </c>
      <c r="U8" s="23" t="s">
        <v>48</v>
      </c>
      <c r="V8" s="3"/>
      <c r="W8" s="3"/>
      <c r="X8" s="3">
        <v>100</v>
      </c>
      <c r="Y8" s="9" t="s">
        <v>11</v>
      </c>
      <c r="Z8" s="3"/>
      <c r="AA8" s="3"/>
      <c r="AB8" s="3">
        <v>80</v>
      </c>
      <c r="AC8" s="13" t="s">
        <v>46</v>
      </c>
      <c r="AD8" s="8">
        <v>65</v>
      </c>
      <c r="AE8" s="8">
        <v>75</v>
      </c>
      <c r="AF8" s="3">
        <f t="shared" si="1"/>
        <v>70</v>
      </c>
      <c r="AG8" s="8" t="s">
        <v>41</v>
      </c>
      <c r="AH8" s="3">
        <v>95</v>
      </c>
      <c r="AI8" s="3">
        <v>100</v>
      </c>
      <c r="AJ8" s="3">
        <f>AVERAGE(AH8:AI8)</f>
        <v>97.5</v>
      </c>
      <c r="AK8" s="25" t="s">
        <v>42</v>
      </c>
      <c r="AL8" s="3"/>
      <c r="AM8" s="3"/>
      <c r="AN8" s="3">
        <v>0</v>
      </c>
      <c r="AO8" s="8" t="s">
        <v>10</v>
      </c>
      <c r="AR8" s="18" t="s">
        <v>117</v>
      </c>
      <c r="AS8" s="21"/>
      <c r="AT8" s="21">
        <f t="shared" si="3"/>
        <v>78.5</v>
      </c>
    </row>
    <row r="9" spans="1:47" s="10" customFormat="1" ht="18.75" x14ac:dyDescent="0.3">
      <c r="A9" s="17" t="s">
        <v>1</v>
      </c>
      <c r="B9" s="3">
        <v>95</v>
      </c>
      <c r="C9" s="3">
        <v>100</v>
      </c>
      <c r="D9" s="7">
        <f t="shared" si="2"/>
        <v>97.5</v>
      </c>
      <c r="E9" s="11" t="s">
        <v>11</v>
      </c>
      <c r="F9" s="12"/>
      <c r="G9" s="12"/>
      <c r="H9" s="28">
        <v>100</v>
      </c>
      <c r="I9" s="8" t="s">
        <v>19</v>
      </c>
      <c r="J9" s="3">
        <v>85</v>
      </c>
      <c r="K9" s="3">
        <v>90</v>
      </c>
      <c r="L9" s="7">
        <f t="shared" si="0"/>
        <v>87.5</v>
      </c>
      <c r="M9" s="8" t="s">
        <v>49</v>
      </c>
      <c r="N9" s="8"/>
      <c r="O9" s="8"/>
      <c r="P9" s="8"/>
      <c r="Q9" s="8" t="s">
        <v>11</v>
      </c>
      <c r="R9" s="7"/>
      <c r="S9" s="7"/>
      <c r="T9" s="7">
        <v>70</v>
      </c>
      <c r="U9" s="47" t="s">
        <v>38</v>
      </c>
      <c r="V9" s="3"/>
      <c r="W9" s="3"/>
      <c r="X9" s="3">
        <v>100</v>
      </c>
      <c r="Y9" s="9" t="s">
        <v>11</v>
      </c>
      <c r="Z9" s="7"/>
      <c r="AA9" s="7"/>
      <c r="AB9" s="7">
        <v>20</v>
      </c>
      <c r="AC9" s="13" t="s">
        <v>10</v>
      </c>
      <c r="AD9" s="8">
        <v>70</v>
      </c>
      <c r="AE9" s="8">
        <v>80</v>
      </c>
      <c r="AF9" s="3">
        <f t="shared" si="1"/>
        <v>75</v>
      </c>
      <c r="AG9" s="8" t="s">
        <v>41</v>
      </c>
      <c r="AH9" s="3">
        <v>95</v>
      </c>
      <c r="AI9" s="3">
        <v>100</v>
      </c>
      <c r="AJ9" s="3">
        <f>AVERAGE(AH9:AI9)</f>
        <v>97.5</v>
      </c>
      <c r="AK9" s="25" t="s">
        <v>42</v>
      </c>
      <c r="AL9" s="3"/>
      <c r="AM9" s="3"/>
      <c r="AN9" s="3">
        <v>0</v>
      </c>
      <c r="AO9" s="8" t="s">
        <v>10</v>
      </c>
      <c r="AR9" s="18" t="s">
        <v>1</v>
      </c>
      <c r="AS9" s="21">
        <f>T15</f>
        <v>68.5</v>
      </c>
      <c r="AT9" s="21">
        <f t="shared" si="3"/>
        <v>71.944444444444443</v>
      </c>
    </row>
    <row r="10" spans="1:47" s="10" customFormat="1" ht="18.75" x14ac:dyDescent="0.3">
      <c r="A10" s="17" t="s">
        <v>2</v>
      </c>
      <c r="B10" s="3">
        <v>95</v>
      </c>
      <c r="C10" s="3">
        <v>100</v>
      </c>
      <c r="D10" s="7">
        <f t="shared" si="2"/>
        <v>97.5</v>
      </c>
      <c r="E10" s="11" t="s">
        <v>11</v>
      </c>
      <c r="F10" s="12"/>
      <c r="G10" s="12"/>
      <c r="H10" s="29">
        <v>100</v>
      </c>
      <c r="I10" s="24" t="s">
        <v>44</v>
      </c>
      <c r="J10" s="3">
        <v>95</v>
      </c>
      <c r="K10" s="3">
        <v>98</v>
      </c>
      <c r="L10" s="7">
        <f t="shared" si="0"/>
        <v>96.5</v>
      </c>
      <c r="M10" s="8" t="s">
        <v>11</v>
      </c>
      <c r="N10" s="8"/>
      <c r="O10" s="8"/>
      <c r="P10" s="8"/>
      <c r="Q10" s="8" t="s">
        <v>11</v>
      </c>
      <c r="R10" s="7"/>
      <c r="S10" s="7"/>
      <c r="T10" s="7">
        <v>70</v>
      </c>
      <c r="U10" s="8" t="s">
        <v>51</v>
      </c>
      <c r="V10" s="3"/>
      <c r="W10" s="3"/>
      <c r="X10" s="3">
        <v>100</v>
      </c>
      <c r="Y10" s="46" t="s">
        <v>11</v>
      </c>
      <c r="Z10" s="3"/>
      <c r="AA10" s="3"/>
      <c r="AB10" s="3">
        <v>90</v>
      </c>
      <c r="AC10" s="13" t="s">
        <v>46</v>
      </c>
      <c r="AD10" s="8">
        <v>80</v>
      </c>
      <c r="AE10" s="8">
        <v>90</v>
      </c>
      <c r="AF10" s="3">
        <f t="shared" si="1"/>
        <v>85</v>
      </c>
      <c r="AG10" s="8" t="s">
        <v>41</v>
      </c>
      <c r="AH10" s="3"/>
      <c r="AI10" s="3"/>
      <c r="AJ10" s="3">
        <v>100</v>
      </c>
      <c r="AK10" s="13" t="s">
        <v>11</v>
      </c>
      <c r="AL10" s="3"/>
      <c r="AM10" s="3"/>
      <c r="AN10" s="3">
        <v>0</v>
      </c>
      <c r="AO10" s="8" t="s">
        <v>10</v>
      </c>
      <c r="AR10" s="18" t="s">
        <v>2</v>
      </c>
      <c r="AS10" s="21">
        <f>X15</f>
        <v>100</v>
      </c>
      <c r="AT10" s="21">
        <f t="shared" si="3"/>
        <v>82.111111111111114</v>
      </c>
    </row>
    <row r="11" spans="1:47" s="10" customFormat="1" ht="18.75" customHeight="1" x14ac:dyDescent="0.3">
      <c r="A11" s="17" t="s">
        <v>3</v>
      </c>
      <c r="B11" s="3">
        <v>95</v>
      </c>
      <c r="C11" s="3">
        <v>100</v>
      </c>
      <c r="D11" s="7">
        <f t="shared" si="2"/>
        <v>97.5</v>
      </c>
      <c r="E11" s="11" t="s">
        <v>11</v>
      </c>
      <c r="F11" s="12"/>
      <c r="G11" s="12"/>
      <c r="H11" s="29">
        <v>100</v>
      </c>
      <c r="I11" s="24" t="s">
        <v>44</v>
      </c>
      <c r="J11" s="3">
        <v>90</v>
      </c>
      <c r="K11" s="3">
        <v>95</v>
      </c>
      <c r="L11" s="7">
        <f t="shared" si="0"/>
        <v>92.5</v>
      </c>
      <c r="M11" s="8" t="s">
        <v>11</v>
      </c>
      <c r="N11" s="8"/>
      <c r="O11" s="8"/>
      <c r="P11" s="8"/>
      <c r="Q11" s="8" t="s">
        <v>11</v>
      </c>
      <c r="R11" s="7"/>
      <c r="S11" s="7"/>
      <c r="T11" s="7">
        <v>70</v>
      </c>
      <c r="U11" s="8" t="s">
        <v>51</v>
      </c>
      <c r="V11" s="3"/>
      <c r="W11" s="3"/>
      <c r="X11" s="3">
        <v>100</v>
      </c>
      <c r="Y11" s="9" t="s">
        <v>11</v>
      </c>
      <c r="Z11" s="3"/>
      <c r="AA11" s="3"/>
      <c r="AB11" s="3">
        <v>70</v>
      </c>
      <c r="AC11" s="134" t="s">
        <v>46</v>
      </c>
      <c r="AD11" s="8">
        <v>90</v>
      </c>
      <c r="AE11" s="8">
        <v>95</v>
      </c>
      <c r="AF11" s="3">
        <f t="shared" si="1"/>
        <v>92.5</v>
      </c>
      <c r="AG11" s="8" t="s">
        <v>41</v>
      </c>
      <c r="AH11" s="3"/>
      <c r="AI11" s="3"/>
      <c r="AJ11" s="3">
        <v>100</v>
      </c>
      <c r="AK11" s="13" t="s">
        <v>11</v>
      </c>
      <c r="AL11" s="3"/>
      <c r="AM11" s="3"/>
      <c r="AN11" s="3">
        <v>0</v>
      </c>
      <c r="AO11" s="8" t="s">
        <v>10</v>
      </c>
      <c r="AR11" s="18" t="s">
        <v>3</v>
      </c>
      <c r="AS11" s="32">
        <f>AB15</f>
        <v>59</v>
      </c>
      <c r="AT11" s="21">
        <f t="shared" si="3"/>
        <v>80.277777777777771</v>
      </c>
      <c r="AU11" s="4"/>
    </row>
    <row r="12" spans="1:47" s="10" customFormat="1" ht="20.25" customHeight="1" x14ac:dyDescent="0.3">
      <c r="A12" s="17" t="s">
        <v>4</v>
      </c>
      <c r="B12" s="3">
        <v>95</v>
      </c>
      <c r="C12" s="3">
        <v>100</v>
      </c>
      <c r="D12" s="7">
        <f t="shared" si="2"/>
        <v>97.5</v>
      </c>
      <c r="E12" s="11" t="s">
        <v>11</v>
      </c>
      <c r="F12" s="12"/>
      <c r="G12" s="12"/>
      <c r="H12" s="29">
        <v>100</v>
      </c>
      <c r="I12" s="24" t="s">
        <v>44</v>
      </c>
      <c r="J12" s="3">
        <v>85</v>
      </c>
      <c r="K12" s="3">
        <v>90</v>
      </c>
      <c r="L12" s="7">
        <f t="shared" si="0"/>
        <v>87.5</v>
      </c>
      <c r="M12" s="8" t="s">
        <v>11</v>
      </c>
      <c r="N12" s="8"/>
      <c r="O12" s="8"/>
      <c r="P12" s="8"/>
      <c r="Q12" s="8" t="s">
        <v>11</v>
      </c>
      <c r="R12" s="7"/>
      <c r="S12" s="7"/>
      <c r="T12" s="7">
        <v>70</v>
      </c>
      <c r="U12" s="8" t="s">
        <v>51</v>
      </c>
      <c r="V12" s="3"/>
      <c r="W12" s="3"/>
      <c r="X12" s="3">
        <v>100</v>
      </c>
      <c r="Y12" s="9" t="s">
        <v>11</v>
      </c>
      <c r="Z12" s="3"/>
      <c r="AA12" s="3"/>
      <c r="AB12" s="3">
        <v>30</v>
      </c>
      <c r="AC12" s="13" t="s">
        <v>10</v>
      </c>
      <c r="AD12" s="8">
        <v>75</v>
      </c>
      <c r="AE12" s="8">
        <v>85</v>
      </c>
      <c r="AF12" s="3">
        <f t="shared" si="1"/>
        <v>80</v>
      </c>
      <c r="AG12" s="47" t="s">
        <v>41</v>
      </c>
      <c r="AH12" s="3"/>
      <c r="AI12" s="3"/>
      <c r="AJ12" s="3">
        <v>100</v>
      </c>
      <c r="AK12" s="13" t="s">
        <v>11</v>
      </c>
      <c r="AL12" s="3"/>
      <c r="AM12" s="3"/>
      <c r="AN12" s="3">
        <v>0</v>
      </c>
      <c r="AO12" s="8" t="s">
        <v>10</v>
      </c>
      <c r="AR12" s="18" t="s">
        <v>4</v>
      </c>
      <c r="AS12" s="21">
        <f>AF15</f>
        <v>79.25</v>
      </c>
      <c r="AT12" s="21">
        <f t="shared" si="3"/>
        <v>73.888888888888886</v>
      </c>
    </row>
    <row r="13" spans="1:47" s="10" customFormat="1" ht="21" customHeight="1" x14ac:dyDescent="0.3">
      <c r="A13" s="17" t="s">
        <v>5</v>
      </c>
      <c r="B13" s="3">
        <v>95</v>
      </c>
      <c r="C13" s="3">
        <v>100</v>
      </c>
      <c r="D13" s="7">
        <f t="shared" si="2"/>
        <v>97.5</v>
      </c>
      <c r="E13" s="11" t="s">
        <v>11</v>
      </c>
      <c r="F13" s="12"/>
      <c r="G13" s="12"/>
      <c r="H13" s="29">
        <v>100</v>
      </c>
      <c r="I13" s="24" t="s">
        <v>44</v>
      </c>
      <c r="J13" s="3">
        <v>95</v>
      </c>
      <c r="K13" s="3">
        <v>98</v>
      </c>
      <c r="L13" s="7">
        <f t="shared" si="0"/>
        <v>96.5</v>
      </c>
      <c r="M13" s="8" t="s">
        <v>11</v>
      </c>
      <c r="N13" s="8"/>
      <c r="O13" s="8"/>
      <c r="P13" s="8"/>
      <c r="Q13" s="8" t="s">
        <v>11</v>
      </c>
      <c r="R13" s="7">
        <v>70</v>
      </c>
      <c r="S13" s="7">
        <v>80</v>
      </c>
      <c r="T13" s="7">
        <f>AVERAGE(R13:S13)</f>
        <v>75</v>
      </c>
      <c r="U13" s="8" t="s">
        <v>51</v>
      </c>
      <c r="V13" s="3"/>
      <c r="W13" s="3"/>
      <c r="X13" s="3">
        <v>100</v>
      </c>
      <c r="Y13" s="9" t="s">
        <v>11</v>
      </c>
      <c r="Z13" s="3"/>
      <c r="AA13" s="3"/>
      <c r="AB13" s="3">
        <v>90</v>
      </c>
      <c r="AC13" t="s">
        <v>52</v>
      </c>
      <c r="AD13" s="8">
        <v>80</v>
      </c>
      <c r="AE13" s="8">
        <v>90</v>
      </c>
      <c r="AF13" s="3">
        <f t="shared" si="1"/>
        <v>85</v>
      </c>
      <c r="AG13" s="8" t="s">
        <v>41</v>
      </c>
      <c r="AH13" s="3"/>
      <c r="AI13" s="3"/>
      <c r="AJ13" s="3">
        <v>100</v>
      </c>
      <c r="AK13" s="134" t="s">
        <v>11</v>
      </c>
      <c r="AL13" s="3"/>
      <c r="AM13" s="3"/>
      <c r="AN13" s="3">
        <v>0</v>
      </c>
      <c r="AO13" s="8" t="s">
        <v>10</v>
      </c>
      <c r="AR13" s="18" t="s">
        <v>5</v>
      </c>
      <c r="AS13" s="21">
        <f>AJ15</f>
        <v>98.75</v>
      </c>
      <c r="AT13" s="21">
        <f t="shared" si="3"/>
        <v>82.666666666666671</v>
      </c>
    </row>
    <row r="14" spans="1:47" s="10" customFormat="1" ht="19.5" customHeight="1" x14ac:dyDescent="0.3">
      <c r="A14" s="17" t="s">
        <v>6</v>
      </c>
      <c r="B14" s="3">
        <v>95</v>
      </c>
      <c r="C14" s="3">
        <v>100</v>
      </c>
      <c r="D14" s="7">
        <f t="shared" si="2"/>
        <v>97.5</v>
      </c>
      <c r="E14" s="11" t="s">
        <v>11</v>
      </c>
      <c r="F14" s="12"/>
      <c r="G14" s="12"/>
      <c r="H14" s="29">
        <v>100</v>
      </c>
      <c r="I14" s="8" t="s">
        <v>19</v>
      </c>
      <c r="J14" s="3">
        <v>92</v>
      </c>
      <c r="K14" s="3">
        <v>95</v>
      </c>
      <c r="L14" s="3">
        <f t="shared" si="0"/>
        <v>93.5</v>
      </c>
      <c r="M14" s="8" t="s">
        <v>11</v>
      </c>
      <c r="N14" s="8"/>
      <c r="O14" s="8"/>
      <c r="P14" s="8"/>
      <c r="Q14" s="8" t="s">
        <v>11</v>
      </c>
      <c r="R14" s="3">
        <v>70</v>
      </c>
      <c r="S14" s="3">
        <v>80</v>
      </c>
      <c r="T14" s="7">
        <f>AVERAGE(R14:S14)</f>
        <v>75</v>
      </c>
      <c r="U14" s="8" t="s">
        <v>51</v>
      </c>
      <c r="V14" s="3"/>
      <c r="W14" s="3"/>
      <c r="X14" s="3">
        <v>100</v>
      </c>
      <c r="Y14" s="9" t="s">
        <v>11</v>
      </c>
      <c r="Z14" s="3"/>
      <c r="AA14" s="3"/>
      <c r="AB14" s="3">
        <v>80</v>
      </c>
      <c r="AC14" t="s">
        <v>52</v>
      </c>
      <c r="AD14" s="8">
        <v>75</v>
      </c>
      <c r="AE14" s="8">
        <v>85</v>
      </c>
      <c r="AF14" s="3">
        <f t="shared" si="1"/>
        <v>80</v>
      </c>
      <c r="AG14" s="8" t="s">
        <v>41</v>
      </c>
      <c r="AH14" s="3"/>
      <c r="AI14" s="3"/>
      <c r="AJ14" s="3">
        <v>100</v>
      </c>
      <c r="AK14" s="13" t="s">
        <v>11</v>
      </c>
      <c r="AL14" s="3"/>
      <c r="AM14" s="3"/>
      <c r="AN14" s="3">
        <v>0</v>
      </c>
      <c r="AO14" s="47" t="s">
        <v>10</v>
      </c>
      <c r="AR14" s="18" t="s">
        <v>6</v>
      </c>
      <c r="AS14" s="21">
        <f>AN15</f>
        <v>0</v>
      </c>
      <c r="AT14" s="21">
        <f t="shared" si="3"/>
        <v>80.666666666666671</v>
      </c>
    </row>
    <row r="15" spans="1:47" ht="18.75" x14ac:dyDescent="0.3">
      <c r="A15" s="19" t="s">
        <v>33</v>
      </c>
      <c r="B15" s="19"/>
      <c r="C15" s="19"/>
      <c r="D15" s="19">
        <f>AVERAGE(D5:D14)</f>
        <v>96.5</v>
      </c>
      <c r="E15" s="19"/>
      <c r="F15" s="19"/>
      <c r="G15" s="19"/>
      <c r="H15" s="19">
        <f t="shared" ref="H15:AN15" si="4">AVERAGE(H5:H14)</f>
        <v>100</v>
      </c>
      <c r="I15" s="19"/>
      <c r="J15" s="19"/>
      <c r="K15" s="19"/>
      <c r="L15" s="19">
        <f t="shared" si="4"/>
        <v>92.7</v>
      </c>
      <c r="M15" s="19"/>
      <c r="N15" s="19"/>
      <c r="O15" s="19"/>
      <c r="P15" s="19"/>
      <c r="Q15" s="19"/>
      <c r="R15" s="19"/>
      <c r="S15" s="19"/>
      <c r="T15" s="19">
        <f t="shared" si="4"/>
        <v>68.5</v>
      </c>
      <c r="U15" s="19"/>
      <c r="V15" s="19"/>
      <c r="W15" s="19"/>
      <c r="X15" s="19">
        <f t="shared" si="4"/>
        <v>100</v>
      </c>
      <c r="Y15" s="19"/>
      <c r="Z15" s="19"/>
      <c r="AA15" s="19"/>
      <c r="AB15" s="19">
        <f t="shared" si="4"/>
        <v>59</v>
      </c>
      <c r="AC15" s="19"/>
      <c r="AD15" s="19"/>
      <c r="AE15" s="19"/>
      <c r="AF15" s="19">
        <f t="shared" si="4"/>
        <v>79.25</v>
      </c>
      <c r="AG15" s="19"/>
      <c r="AH15" s="19"/>
      <c r="AI15" s="19"/>
      <c r="AJ15" s="19">
        <f t="shared" si="4"/>
        <v>98.75</v>
      </c>
      <c r="AK15" s="19"/>
      <c r="AL15" s="19"/>
      <c r="AM15" s="19"/>
      <c r="AN15" s="19">
        <f t="shared" si="4"/>
        <v>0</v>
      </c>
      <c r="AO15" s="19"/>
    </row>
    <row r="16" spans="1:47" x14ac:dyDescent="0.25">
      <c r="AL16" s="2"/>
      <c r="AM16" s="2"/>
      <c r="AN16" s="2"/>
    </row>
    <row r="25" spans="44:45" x14ac:dyDescent="0.25">
      <c r="AR25" s="37" t="s">
        <v>7</v>
      </c>
      <c r="AS25" s="22" t="s">
        <v>34</v>
      </c>
    </row>
    <row r="26" spans="44:45" x14ac:dyDescent="0.25">
      <c r="AR26" t="s">
        <v>6</v>
      </c>
      <c r="AS26" s="39">
        <v>0</v>
      </c>
    </row>
    <row r="27" spans="44:45" x14ac:dyDescent="0.25">
      <c r="AR27" t="s">
        <v>3</v>
      </c>
      <c r="AS27" s="39">
        <v>59</v>
      </c>
    </row>
    <row r="28" spans="44:45" x14ac:dyDescent="0.25">
      <c r="AR28" t="s">
        <v>1</v>
      </c>
      <c r="AS28" s="22">
        <v>68.5</v>
      </c>
    </row>
    <row r="29" spans="44:45" x14ac:dyDescent="0.25">
      <c r="AR29" t="s">
        <v>4</v>
      </c>
      <c r="AS29" s="22">
        <v>79.25</v>
      </c>
    </row>
    <row r="30" spans="44:45" x14ac:dyDescent="0.25">
      <c r="AR30" t="s">
        <v>0</v>
      </c>
      <c r="AS30" s="22">
        <v>92.7</v>
      </c>
    </row>
    <row r="31" spans="44:45" x14ac:dyDescent="0.25">
      <c r="AR31" t="s">
        <v>25</v>
      </c>
      <c r="AS31" s="22">
        <v>96.5</v>
      </c>
    </row>
    <row r="32" spans="44:45" x14ac:dyDescent="0.25">
      <c r="AR32" t="s">
        <v>5</v>
      </c>
      <c r="AS32" s="22">
        <v>98.75</v>
      </c>
    </row>
    <row r="33" spans="44:45" x14ac:dyDescent="0.25">
      <c r="AR33" t="s">
        <v>30</v>
      </c>
      <c r="AS33" s="39">
        <v>100</v>
      </c>
    </row>
    <row r="34" spans="44:45" x14ac:dyDescent="0.25">
      <c r="AR34" t="s">
        <v>2</v>
      </c>
      <c r="AS34" s="39">
        <v>100</v>
      </c>
    </row>
    <row r="35" spans="44:45" x14ac:dyDescent="0.25">
      <c r="AR35" t="s">
        <v>117</v>
      </c>
    </row>
    <row r="36" spans="44:45" x14ac:dyDescent="0.25">
      <c r="AR36" s="37"/>
    </row>
    <row r="37" spans="44:45" x14ac:dyDescent="0.25">
      <c r="AR37" s="37"/>
    </row>
    <row r="38" spans="44:45" x14ac:dyDescent="0.25">
      <c r="AR38" s="37"/>
    </row>
    <row r="39" spans="44:45" x14ac:dyDescent="0.25">
      <c r="AR39" s="37" t="s">
        <v>7</v>
      </c>
      <c r="AS39" s="22" t="s">
        <v>35</v>
      </c>
    </row>
    <row r="40" spans="44:45" x14ac:dyDescent="0.25">
      <c r="AR40" t="s">
        <v>1</v>
      </c>
      <c r="AS40" s="22">
        <v>71.944444444444443</v>
      </c>
    </row>
    <row r="41" spans="44:45" x14ac:dyDescent="0.25">
      <c r="AR41" t="s">
        <v>25</v>
      </c>
      <c r="AS41" s="22">
        <v>72.5</v>
      </c>
    </row>
    <row r="42" spans="44:45" x14ac:dyDescent="0.25">
      <c r="AR42" t="s">
        <v>0</v>
      </c>
      <c r="AS42" s="22">
        <v>73.055555555555557</v>
      </c>
    </row>
    <row r="43" spans="44:45" x14ac:dyDescent="0.25">
      <c r="AR43" t="s">
        <v>4</v>
      </c>
      <c r="AS43" s="22">
        <v>73.888888888888886</v>
      </c>
    </row>
    <row r="44" spans="44:45" x14ac:dyDescent="0.25">
      <c r="AR44" t="s">
        <v>30</v>
      </c>
      <c r="AS44" s="22">
        <v>76.277777777777771</v>
      </c>
    </row>
    <row r="45" spans="44:45" x14ac:dyDescent="0.25">
      <c r="AR45" t="s">
        <v>117</v>
      </c>
      <c r="AS45" s="22">
        <v>78.5</v>
      </c>
    </row>
    <row r="46" spans="44:45" x14ac:dyDescent="0.25">
      <c r="AR46" t="s">
        <v>3</v>
      </c>
      <c r="AS46" s="22">
        <v>80.277777777777771</v>
      </c>
    </row>
    <row r="47" spans="44:45" x14ac:dyDescent="0.25">
      <c r="AR47" t="s">
        <v>6</v>
      </c>
      <c r="AS47" s="22">
        <v>80.666666666666671</v>
      </c>
    </row>
    <row r="48" spans="44:45" x14ac:dyDescent="0.25">
      <c r="AR48" t="s">
        <v>2</v>
      </c>
      <c r="AS48" s="22">
        <v>82.111111111111114</v>
      </c>
    </row>
    <row r="49" spans="44:45" x14ac:dyDescent="0.25">
      <c r="AR49" t="s">
        <v>5</v>
      </c>
      <c r="AS49" s="22">
        <v>82.666666666666671</v>
      </c>
    </row>
  </sheetData>
  <mergeCells count="11">
    <mergeCell ref="AL3:AO3"/>
    <mergeCell ref="B2:AO2"/>
    <mergeCell ref="B3:E3"/>
    <mergeCell ref="F3:I3"/>
    <mergeCell ref="J3:M3"/>
    <mergeCell ref="N3:Q3"/>
    <mergeCell ref="R3:U3"/>
    <mergeCell ref="V3:Y3"/>
    <mergeCell ref="Z3:AC3"/>
    <mergeCell ref="AD3:AG3"/>
    <mergeCell ref="AH3:AK3"/>
  </mergeCells>
  <phoneticPr fontId="11" type="noConversion"/>
  <pageMargins left="0.7" right="0.7" top="0.75" bottom="0.75" header="0.3" footer="0.3"/>
  <pageSetup paperSize="8" scale="5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DE363-64ED-4C09-B8AB-54CC07197A89}">
  <dimension ref="A2:AU58"/>
  <sheetViews>
    <sheetView topLeftCell="O11" zoomScale="115" zoomScaleNormal="115" workbookViewId="0">
      <selection activeCell="AH16" sqref="AH16"/>
    </sheetView>
  </sheetViews>
  <sheetFormatPr defaultRowHeight="15" x14ac:dyDescent="0.25"/>
  <cols>
    <col min="1" max="1" width="26.7109375" bestFit="1" customWidth="1"/>
    <col min="2" max="2" width="9.28515625" customWidth="1"/>
    <col min="3" max="3" width="11.5703125" customWidth="1"/>
    <col min="4" max="4" width="9.42578125" customWidth="1"/>
    <col min="5" max="5" width="36.28515625" customWidth="1"/>
    <col min="7" max="7" width="9.5703125" customWidth="1"/>
    <col min="8" max="8" width="10" style="30" customWidth="1"/>
    <col min="9" max="9" width="41" customWidth="1"/>
    <col min="10" max="10" width="10.140625" customWidth="1"/>
    <col min="11" max="11" width="12.85546875" customWidth="1"/>
    <col min="12" max="12" width="11.140625" customWidth="1"/>
    <col min="13" max="13" width="22.5703125" customWidth="1"/>
    <col min="14" max="14" width="10.85546875" customWidth="1"/>
    <col min="15" max="15" width="10.5703125" customWidth="1"/>
    <col min="16" max="16" width="10.42578125" customWidth="1"/>
    <col min="17" max="17" width="17.7109375" customWidth="1"/>
    <col min="18" max="18" width="8.5703125" customWidth="1"/>
    <col min="19" max="19" width="9.7109375" customWidth="1"/>
    <col min="20" max="20" width="10.5703125" customWidth="1"/>
    <col min="21" max="21" width="29.28515625" bestFit="1" customWidth="1"/>
    <col min="23" max="23" width="9.28515625" customWidth="1"/>
    <col min="24" max="24" width="9.85546875" customWidth="1"/>
    <col min="25" max="25" width="19" customWidth="1"/>
    <col min="26" max="26" width="10.5703125" customWidth="1"/>
    <col min="27" max="27" width="11.85546875" customWidth="1"/>
    <col min="28" max="28" width="11" customWidth="1"/>
    <col min="29" max="29" width="19.85546875" bestFit="1" customWidth="1"/>
    <col min="30" max="30" width="9" bestFit="1" customWidth="1"/>
    <col min="31" max="32" width="9" customWidth="1"/>
    <col min="33" max="33" width="29.5703125" customWidth="1"/>
    <col min="34" max="34" width="10.140625" style="1" customWidth="1"/>
    <col min="35" max="35" width="9.7109375" style="1" customWidth="1"/>
    <col min="36" max="36" width="10.7109375" style="1" customWidth="1"/>
    <col min="37" max="37" width="38.7109375" bestFit="1" customWidth="1"/>
    <col min="38" max="38" width="10" style="1" customWidth="1"/>
    <col min="39" max="39" width="10.42578125" style="1" customWidth="1"/>
    <col min="40" max="40" width="9.28515625" style="1" customWidth="1"/>
    <col min="41" max="41" width="20.7109375" customWidth="1"/>
    <col min="44" max="44" width="32.85546875"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31.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50" customFormat="1" ht="18.75" x14ac:dyDescent="0.3">
      <c r="A5" s="41" t="s">
        <v>25</v>
      </c>
      <c r="B5" s="42">
        <v>85</v>
      </c>
      <c r="C5" s="42">
        <v>95</v>
      </c>
      <c r="D5" s="42">
        <f>AVERAGE(B5:C5)</f>
        <v>90</v>
      </c>
      <c r="E5" s="43" t="s">
        <v>38</v>
      </c>
      <c r="F5" s="44"/>
      <c r="G5" s="44"/>
      <c r="H5" s="45">
        <v>100</v>
      </c>
      <c r="I5" s="43" t="s">
        <v>53</v>
      </c>
      <c r="J5" s="42">
        <v>85</v>
      </c>
      <c r="K5" s="42">
        <v>90</v>
      </c>
      <c r="L5" s="42">
        <f t="shared" ref="L5:L14" si="0">AVERAGE(J5:K5)</f>
        <v>87.5</v>
      </c>
      <c r="M5" s="43" t="s">
        <v>38</v>
      </c>
      <c r="N5" s="46"/>
      <c r="O5" s="46"/>
      <c r="P5" s="46"/>
      <c r="Q5" s="47" t="s">
        <v>117</v>
      </c>
      <c r="R5" s="42">
        <v>95</v>
      </c>
      <c r="S5" s="42">
        <v>100</v>
      </c>
      <c r="T5" s="42">
        <f t="shared" ref="T5:T12" si="1">AVERAGE(R5:S5)</f>
        <v>97.5</v>
      </c>
      <c r="U5" s="48" t="s">
        <v>54</v>
      </c>
      <c r="V5" s="42"/>
      <c r="W5" s="42"/>
      <c r="X5" s="42">
        <v>100</v>
      </c>
      <c r="Y5" s="46" t="s">
        <v>11</v>
      </c>
      <c r="Z5" s="42"/>
      <c r="AA5" s="42"/>
      <c r="AB5" s="42">
        <v>80</v>
      </c>
      <c r="AC5" s="43" t="s">
        <v>55</v>
      </c>
      <c r="AD5" s="46"/>
      <c r="AE5" s="46"/>
      <c r="AF5" s="42">
        <v>70</v>
      </c>
      <c r="AG5" s="47" t="s">
        <v>56</v>
      </c>
      <c r="AH5" s="42">
        <v>95</v>
      </c>
      <c r="AI5" s="42">
        <v>100</v>
      </c>
      <c r="AJ5" s="42">
        <f>AVERAGE(AH5:AI5)</f>
        <v>97.5</v>
      </c>
      <c r="AK5" s="49" t="s">
        <v>38</v>
      </c>
      <c r="AL5" s="42"/>
      <c r="AM5" s="42"/>
      <c r="AN5" s="42">
        <v>0</v>
      </c>
      <c r="AO5" s="47" t="s">
        <v>10</v>
      </c>
      <c r="AR5" s="51" t="s">
        <v>25</v>
      </c>
      <c r="AS5" s="52">
        <f>D15</f>
        <v>91</v>
      </c>
      <c r="AT5" s="52">
        <f>AVERAGE(D5,H5,L5,T5,X5,AB5,AF5,AJ5,AN5)</f>
        <v>80.277777777777771</v>
      </c>
    </row>
    <row r="6" spans="1:47" s="10" customFormat="1" ht="18.75" x14ac:dyDescent="0.3">
      <c r="A6" s="17" t="s">
        <v>30</v>
      </c>
      <c r="B6" s="3">
        <v>90</v>
      </c>
      <c r="C6" s="3">
        <v>95</v>
      </c>
      <c r="D6" s="7">
        <f t="shared" ref="D6:D14" si="2">AVERAGE(B6:C6)</f>
        <v>92.5</v>
      </c>
      <c r="E6" s="24" t="s">
        <v>38</v>
      </c>
      <c r="F6" s="12"/>
      <c r="G6" s="12"/>
      <c r="H6" s="28">
        <v>100</v>
      </c>
      <c r="I6" s="24" t="s">
        <v>57</v>
      </c>
      <c r="J6" s="3">
        <v>15</v>
      </c>
      <c r="K6" s="3">
        <v>20</v>
      </c>
      <c r="L6" s="7">
        <f t="shared" si="0"/>
        <v>17.5</v>
      </c>
      <c r="M6" s="24" t="s">
        <v>10</v>
      </c>
      <c r="N6" s="8"/>
      <c r="O6" s="8"/>
      <c r="P6" s="8"/>
      <c r="Q6" s="8" t="s">
        <v>58</v>
      </c>
      <c r="R6" s="7">
        <v>95</v>
      </c>
      <c r="S6" s="7">
        <v>100</v>
      </c>
      <c r="T6" s="7">
        <f t="shared" si="1"/>
        <v>97.5</v>
      </c>
      <c r="U6" s="33" t="s">
        <v>49</v>
      </c>
      <c r="V6" s="3"/>
      <c r="W6" s="3"/>
      <c r="X6" s="3">
        <v>100</v>
      </c>
      <c r="Y6" s="9" t="s">
        <v>11</v>
      </c>
      <c r="Z6" s="3"/>
      <c r="AA6" s="3"/>
      <c r="AB6" s="3">
        <v>90</v>
      </c>
      <c r="AC6" s="24" t="s">
        <v>55</v>
      </c>
      <c r="AD6" s="8"/>
      <c r="AE6" s="8"/>
      <c r="AF6" s="3">
        <v>80</v>
      </c>
      <c r="AG6" s="8" t="s">
        <v>41</v>
      </c>
      <c r="AH6" s="7">
        <v>90</v>
      </c>
      <c r="AI6" s="3">
        <v>95</v>
      </c>
      <c r="AJ6" s="3">
        <f>AVERAGE(AH6:AI6)</f>
        <v>92.5</v>
      </c>
      <c r="AK6" s="34" t="s">
        <v>59</v>
      </c>
      <c r="AL6" s="3"/>
      <c r="AM6" s="3"/>
      <c r="AN6" s="3">
        <v>20</v>
      </c>
      <c r="AO6" s="8" t="s">
        <v>11</v>
      </c>
      <c r="AR6" s="18" t="s">
        <v>30</v>
      </c>
      <c r="AS6" s="21">
        <f>H15</f>
        <v>100</v>
      </c>
      <c r="AT6" s="21">
        <f t="shared" ref="AT6:AT14" si="3">AVERAGE(D6,H6,L6,T6,X6,AB6,AF6,AJ6,AN6)</f>
        <v>76.666666666666671</v>
      </c>
    </row>
    <row r="7" spans="1:47" s="10" customFormat="1" ht="18.75" x14ac:dyDescent="0.3">
      <c r="A7" s="17" t="s">
        <v>0</v>
      </c>
      <c r="B7" s="3">
        <v>85</v>
      </c>
      <c r="C7" s="3">
        <v>95</v>
      </c>
      <c r="D7" s="7">
        <f t="shared" si="2"/>
        <v>90</v>
      </c>
      <c r="E7" s="24" t="s">
        <v>38</v>
      </c>
      <c r="F7" s="12"/>
      <c r="G7" s="12"/>
      <c r="H7" s="28">
        <v>100</v>
      </c>
      <c r="I7" s="24" t="s">
        <v>57</v>
      </c>
      <c r="J7" s="3">
        <v>75</v>
      </c>
      <c r="K7" s="3">
        <v>80</v>
      </c>
      <c r="L7" s="7">
        <f t="shared" si="0"/>
        <v>77.5</v>
      </c>
      <c r="M7" s="8" t="s">
        <v>60</v>
      </c>
      <c r="N7" s="8"/>
      <c r="O7" s="8"/>
      <c r="P7" s="8"/>
      <c r="Q7" s="8" t="s">
        <v>117</v>
      </c>
      <c r="R7" s="7">
        <v>90</v>
      </c>
      <c r="S7" s="7">
        <v>100</v>
      </c>
      <c r="T7" s="7">
        <f t="shared" si="1"/>
        <v>95</v>
      </c>
      <c r="U7" s="33" t="s">
        <v>49</v>
      </c>
      <c r="V7" s="3"/>
      <c r="W7" s="3"/>
      <c r="X7" s="3">
        <v>100</v>
      </c>
      <c r="Y7" s="9" t="s">
        <v>11</v>
      </c>
      <c r="Z7" s="3"/>
      <c r="AA7" s="3"/>
      <c r="AB7" s="3">
        <v>85</v>
      </c>
      <c r="AC7" s="24" t="s">
        <v>55</v>
      </c>
      <c r="AD7" s="8"/>
      <c r="AE7" s="8"/>
      <c r="AF7" s="3">
        <v>75</v>
      </c>
      <c r="AG7" s="8" t="s">
        <v>41</v>
      </c>
      <c r="AH7" s="7"/>
      <c r="AI7" s="3"/>
      <c r="AJ7" s="3">
        <v>100</v>
      </c>
      <c r="AK7" s="34" t="s">
        <v>59</v>
      </c>
      <c r="AL7" s="3"/>
      <c r="AM7" s="3"/>
      <c r="AN7" s="3">
        <v>100</v>
      </c>
      <c r="AO7" s="8" t="s">
        <v>11</v>
      </c>
      <c r="AR7" s="18" t="s">
        <v>0</v>
      </c>
      <c r="AS7" s="21">
        <f>L15</f>
        <v>67</v>
      </c>
      <c r="AT7" s="21">
        <f t="shared" si="3"/>
        <v>91.388888888888886</v>
      </c>
    </row>
    <row r="8" spans="1:47" s="10" customFormat="1" ht="18.75" x14ac:dyDescent="0.3">
      <c r="A8" s="17" t="s">
        <v>117</v>
      </c>
      <c r="B8" s="3">
        <v>85</v>
      </c>
      <c r="C8" s="3">
        <v>95</v>
      </c>
      <c r="D8" s="7">
        <f t="shared" si="2"/>
        <v>90</v>
      </c>
      <c r="E8" s="24" t="s">
        <v>38</v>
      </c>
      <c r="F8" s="12"/>
      <c r="G8" s="12"/>
      <c r="H8" s="28">
        <v>100</v>
      </c>
      <c r="I8" s="24" t="s">
        <v>57</v>
      </c>
      <c r="J8" s="3">
        <v>90</v>
      </c>
      <c r="K8" s="3">
        <v>95</v>
      </c>
      <c r="L8" s="7">
        <f t="shared" si="0"/>
        <v>92.5</v>
      </c>
      <c r="M8" s="24" t="s">
        <v>38</v>
      </c>
      <c r="N8" s="8"/>
      <c r="O8" s="8"/>
      <c r="P8" s="8"/>
      <c r="Q8" s="8" t="s">
        <v>117</v>
      </c>
      <c r="R8" s="7">
        <v>90</v>
      </c>
      <c r="S8" s="7">
        <v>100</v>
      </c>
      <c r="T8" s="7">
        <f t="shared" si="1"/>
        <v>95</v>
      </c>
      <c r="U8" s="33" t="s">
        <v>50</v>
      </c>
      <c r="V8" s="3"/>
      <c r="W8" s="3"/>
      <c r="X8" s="3">
        <v>100</v>
      </c>
      <c r="Y8" s="9" t="s">
        <v>11</v>
      </c>
      <c r="Z8" s="3"/>
      <c r="AA8" s="3"/>
      <c r="AB8" s="3">
        <v>95</v>
      </c>
      <c r="AC8" s="24" t="s">
        <v>55</v>
      </c>
      <c r="AD8" s="8"/>
      <c r="AE8" s="8"/>
      <c r="AF8" s="3">
        <v>85</v>
      </c>
      <c r="AG8" s="8" t="s">
        <v>41</v>
      </c>
      <c r="AH8" s="3"/>
      <c r="AI8" s="3"/>
      <c r="AJ8" s="3">
        <v>100</v>
      </c>
      <c r="AK8" s="34" t="s">
        <v>59</v>
      </c>
      <c r="AL8" s="3"/>
      <c r="AM8" s="3"/>
      <c r="AN8" s="3">
        <v>100</v>
      </c>
      <c r="AO8" s="8" t="s">
        <v>11</v>
      </c>
      <c r="AR8" s="18" t="s">
        <v>117</v>
      </c>
      <c r="AS8" s="21"/>
      <c r="AT8" s="21">
        <f t="shared" si="3"/>
        <v>95.277777777777771</v>
      </c>
    </row>
    <row r="9" spans="1:47" s="10" customFormat="1" ht="18.75" x14ac:dyDescent="0.3">
      <c r="A9" s="17" t="s">
        <v>1</v>
      </c>
      <c r="B9" s="3">
        <v>85</v>
      </c>
      <c r="C9" s="3">
        <v>95</v>
      </c>
      <c r="D9" s="7">
        <f t="shared" si="2"/>
        <v>90</v>
      </c>
      <c r="E9" s="24" t="s">
        <v>38</v>
      </c>
      <c r="F9" s="12"/>
      <c r="G9" s="12"/>
      <c r="H9" s="28">
        <v>100</v>
      </c>
      <c r="I9" s="24" t="s">
        <v>57</v>
      </c>
      <c r="J9" s="3">
        <v>25</v>
      </c>
      <c r="K9" s="3">
        <v>30</v>
      </c>
      <c r="L9" s="7">
        <f t="shared" si="0"/>
        <v>27.5</v>
      </c>
      <c r="M9" s="8" t="s">
        <v>10</v>
      </c>
      <c r="N9" s="8"/>
      <c r="O9" s="8"/>
      <c r="P9" s="8"/>
      <c r="Q9" s="8" t="s">
        <v>117</v>
      </c>
      <c r="R9" s="7"/>
      <c r="S9" s="7"/>
      <c r="T9" s="7">
        <v>95</v>
      </c>
      <c r="U9" s="33" t="s">
        <v>50</v>
      </c>
      <c r="V9" s="3"/>
      <c r="W9" s="3"/>
      <c r="X9" s="3">
        <v>100</v>
      </c>
      <c r="Y9" s="9" t="s">
        <v>11</v>
      </c>
      <c r="Z9" s="7"/>
      <c r="AA9" s="7"/>
      <c r="AB9" s="7">
        <v>90</v>
      </c>
      <c r="AC9" s="24" t="s">
        <v>55</v>
      </c>
      <c r="AD9" s="8"/>
      <c r="AE9" s="8"/>
      <c r="AF9" s="3">
        <v>80</v>
      </c>
      <c r="AG9" s="8" t="s">
        <v>41</v>
      </c>
      <c r="AH9" s="3"/>
      <c r="AI9" s="3"/>
      <c r="AJ9" s="3">
        <v>100</v>
      </c>
      <c r="AK9" s="34" t="s">
        <v>59</v>
      </c>
      <c r="AL9" s="3"/>
      <c r="AM9" s="3"/>
      <c r="AN9" s="3">
        <v>100</v>
      </c>
      <c r="AO9" s="8" t="s">
        <v>11</v>
      </c>
      <c r="AR9" s="18" t="s">
        <v>1</v>
      </c>
      <c r="AS9" s="21">
        <f>T15</f>
        <v>95.5</v>
      </c>
      <c r="AT9" s="21">
        <f t="shared" si="3"/>
        <v>86.944444444444443</v>
      </c>
    </row>
    <row r="10" spans="1:47" s="10" customFormat="1" ht="18.75" x14ac:dyDescent="0.3">
      <c r="A10" s="17" t="s">
        <v>2</v>
      </c>
      <c r="B10" s="3">
        <v>90</v>
      </c>
      <c r="C10" s="3">
        <v>95</v>
      </c>
      <c r="D10" s="7">
        <f t="shared" si="2"/>
        <v>92.5</v>
      </c>
      <c r="E10" s="24" t="s">
        <v>38</v>
      </c>
      <c r="F10" s="12"/>
      <c r="G10" s="12"/>
      <c r="H10" s="29">
        <v>100</v>
      </c>
      <c r="I10" s="24" t="s">
        <v>57</v>
      </c>
      <c r="J10" s="3">
        <v>85</v>
      </c>
      <c r="K10" s="3">
        <v>90</v>
      </c>
      <c r="L10" s="7">
        <f t="shared" si="0"/>
        <v>87.5</v>
      </c>
      <c r="M10" s="24" t="s">
        <v>38</v>
      </c>
      <c r="N10" s="8"/>
      <c r="O10" s="8"/>
      <c r="P10" s="8"/>
      <c r="Q10" s="8" t="s">
        <v>117</v>
      </c>
      <c r="R10" s="7">
        <v>90</v>
      </c>
      <c r="S10" s="7">
        <v>100</v>
      </c>
      <c r="T10" s="7">
        <f t="shared" si="1"/>
        <v>95</v>
      </c>
      <c r="U10" s="33" t="s">
        <v>50</v>
      </c>
      <c r="V10" s="3"/>
      <c r="W10" s="3"/>
      <c r="X10" s="3">
        <v>100</v>
      </c>
      <c r="Y10" s="9" t="s">
        <v>11</v>
      </c>
      <c r="Z10" s="3"/>
      <c r="AA10" s="3"/>
      <c r="AB10" s="3">
        <v>92</v>
      </c>
      <c r="AC10" s="24" t="s">
        <v>55</v>
      </c>
      <c r="AD10" s="8"/>
      <c r="AE10" s="8"/>
      <c r="AF10" s="3">
        <v>80</v>
      </c>
      <c r="AG10" s="8" t="s">
        <v>41</v>
      </c>
      <c r="AH10" s="3"/>
      <c r="AI10" s="3"/>
      <c r="AJ10" s="3">
        <v>100</v>
      </c>
      <c r="AK10" s="34" t="s">
        <v>59</v>
      </c>
      <c r="AL10" s="3"/>
      <c r="AM10" s="3"/>
      <c r="AN10" s="3">
        <v>100</v>
      </c>
      <c r="AO10" s="8" t="s">
        <v>11</v>
      </c>
      <c r="AR10" s="18" t="s">
        <v>2</v>
      </c>
      <c r="AS10" s="21">
        <f>X15</f>
        <v>100</v>
      </c>
      <c r="AT10" s="21">
        <f t="shared" si="3"/>
        <v>94.111111111111114</v>
      </c>
    </row>
    <row r="11" spans="1:47" s="10" customFormat="1" ht="18.75" customHeight="1" x14ac:dyDescent="0.3">
      <c r="A11" s="17" t="s">
        <v>3</v>
      </c>
      <c r="B11" s="3">
        <v>90</v>
      </c>
      <c r="C11" s="3">
        <v>95</v>
      </c>
      <c r="D11" s="7">
        <f t="shared" si="2"/>
        <v>92.5</v>
      </c>
      <c r="E11" s="24" t="s">
        <v>38</v>
      </c>
      <c r="F11" s="12"/>
      <c r="G11" s="12"/>
      <c r="H11" s="29">
        <v>100</v>
      </c>
      <c r="I11" s="24" t="s">
        <v>57</v>
      </c>
      <c r="J11" s="3">
        <v>90</v>
      </c>
      <c r="K11" s="3">
        <v>95</v>
      </c>
      <c r="L11" s="7">
        <f t="shared" si="0"/>
        <v>92.5</v>
      </c>
      <c r="M11" s="8" t="s">
        <v>49</v>
      </c>
      <c r="N11" s="8"/>
      <c r="O11" s="8"/>
      <c r="P11" s="8"/>
      <c r="Q11" s="8" t="s">
        <v>117</v>
      </c>
      <c r="R11" s="7">
        <v>90</v>
      </c>
      <c r="S11" s="7">
        <v>100</v>
      </c>
      <c r="T11" s="7">
        <f t="shared" si="1"/>
        <v>95</v>
      </c>
      <c r="U11" s="33" t="s">
        <v>49</v>
      </c>
      <c r="V11" s="3"/>
      <c r="W11" s="3"/>
      <c r="X11" s="3">
        <v>100</v>
      </c>
      <c r="Y11" s="9" t="s">
        <v>11</v>
      </c>
      <c r="Z11" s="3"/>
      <c r="AA11" s="3"/>
      <c r="AB11" s="3">
        <v>95</v>
      </c>
      <c r="AC11" s="24" t="s">
        <v>55</v>
      </c>
      <c r="AD11" s="8"/>
      <c r="AE11" s="8"/>
      <c r="AF11" s="3">
        <v>85</v>
      </c>
      <c r="AG11" s="8" t="s">
        <v>41</v>
      </c>
      <c r="AH11" s="3"/>
      <c r="AI11" s="3"/>
      <c r="AJ11" s="3">
        <v>100</v>
      </c>
      <c r="AK11" s="34" t="s">
        <v>59</v>
      </c>
      <c r="AL11" s="3"/>
      <c r="AM11" s="3"/>
      <c r="AN11" s="3">
        <v>100</v>
      </c>
      <c r="AO11" s="8" t="s">
        <v>11</v>
      </c>
      <c r="AR11" s="18" t="s">
        <v>3</v>
      </c>
      <c r="AS11" s="32">
        <f>AB15</f>
        <v>88.2</v>
      </c>
      <c r="AT11" s="21">
        <f t="shared" si="3"/>
        <v>95.555555555555557</v>
      </c>
      <c r="AU11" s="4"/>
    </row>
    <row r="12" spans="1:47" s="10" customFormat="1" ht="20.25" customHeight="1" x14ac:dyDescent="0.3">
      <c r="A12" s="17" t="s">
        <v>4</v>
      </c>
      <c r="B12" s="3">
        <v>85</v>
      </c>
      <c r="C12" s="3">
        <v>95</v>
      </c>
      <c r="D12" s="7">
        <f t="shared" si="2"/>
        <v>90</v>
      </c>
      <c r="E12" s="24" t="s">
        <v>38</v>
      </c>
      <c r="F12" s="12"/>
      <c r="G12" s="12"/>
      <c r="H12" s="29">
        <v>100</v>
      </c>
      <c r="I12" s="24" t="s">
        <v>61</v>
      </c>
      <c r="J12" s="3">
        <v>25</v>
      </c>
      <c r="K12" s="3">
        <v>30</v>
      </c>
      <c r="L12" s="7">
        <f t="shared" si="0"/>
        <v>27.5</v>
      </c>
      <c r="M12" s="8" t="s">
        <v>10</v>
      </c>
      <c r="N12" s="8"/>
      <c r="O12" s="8"/>
      <c r="P12" s="8"/>
      <c r="Q12" s="8" t="s">
        <v>117</v>
      </c>
      <c r="R12" s="7">
        <v>90</v>
      </c>
      <c r="S12" s="7">
        <v>100</v>
      </c>
      <c r="T12" s="7">
        <f t="shared" si="1"/>
        <v>95</v>
      </c>
      <c r="U12" s="33" t="s">
        <v>50</v>
      </c>
      <c r="V12" s="3"/>
      <c r="W12" s="3"/>
      <c r="X12" s="3">
        <v>100</v>
      </c>
      <c r="Y12" s="9" t="s">
        <v>11</v>
      </c>
      <c r="Z12" s="3"/>
      <c r="AA12" s="3"/>
      <c r="AB12" s="3">
        <v>80</v>
      </c>
      <c r="AC12" s="24" t="s">
        <v>55</v>
      </c>
      <c r="AD12" s="8"/>
      <c r="AE12" s="8"/>
      <c r="AF12" s="3">
        <v>75</v>
      </c>
      <c r="AG12" s="8" t="s">
        <v>41</v>
      </c>
      <c r="AH12" s="3"/>
      <c r="AI12" s="3"/>
      <c r="AJ12" s="3">
        <v>100</v>
      </c>
      <c r="AK12" s="34" t="s">
        <v>59</v>
      </c>
      <c r="AL12" s="3"/>
      <c r="AM12" s="3"/>
      <c r="AN12" s="3">
        <v>100</v>
      </c>
      <c r="AO12" s="8" t="s">
        <v>11</v>
      </c>
      <c r="AR12" s="18" t="s">
        <v>4</v>
      </c>
      <c r="AS12" s="21">
        <f>AF15</f>
        <v>79</v>
      </c>
      <c r="AT12" s="21">
        <f t="shared" si="3"/>
        <v>85.277777777777771</v>
      </c>
    </row>
    <row r="13" spans="1:47" s="10" customFormat="1" ht="21" customHeight="1" x14ac:dyDescent="0.3">
      <c r="A13" s="17" t="s">
        <v>5</v>
      </c>
      <c r="B13" s="3">
        <v>88</v>
      </c>
      <c r="C13" s="3">
        <v>95</v>
      </c>
      <c r="D13" s="7">
        <f t="shared" si="2"/>
        <v>91.5</v>
      </c>
      <c r="E13" s="24" t="s">
        <v>38</v>
      </c>
      <c r="F13" s="12"/>
      <c r="G13" s="12"/>
      <c r="H13" s="29">
        <v>100</v>
      </c>
      <c r="I13" s="24" t="s">
        <v>61</v>
      </c>
      <c r="J13" s="3">
        <v>80</v>
      </c>
      <c r="K13" s="3">
        <v>85</v>
      </c>
      <c r="L13" s="7">
        <f t="shared" si="0"/>
        <v>82.5</v>
      </c>
      <c r="M13" s="8" t="s">
        <v>49</v>
      </c>
      <c r="N13" s="8"/>
      <c r="O13" s="8"/>
      <c r="P13" s="8"/>
      <c r="Q13" s="8" t="s">
        <v>117</v>
      </c>
      <c r="R13" s="7">
        <v>90</v>
      </c>
      <c r="S13" s="7">
        <v>100</v>
      </c>
      <c r="T13" s="7">
        <f>AVERAGE(R13:S13)</f>
        <v>95</v>
      </c>
      <c r="U13" s="33" t="s">
        <v>50</v>
      </c>
      <c r="V13" s="3"/>
      <c r="W13" s="3"/>
      <c r="X13" s="3">
        <v>100</v>
      </c>
      <c r="Y13" s="9" t="s">
        <v>11</v>
      </c>
      <c r="Z13" s="3"/>
      <c r="AA13" s="3"/>
      <c r="AB13" s="3">
        <v>85</v>
      </c>
      <c r="AC13" s="24" t="s">
        <v>55</v>
      </c>
      <c r="AD13" s="8"/>
      <c r="AE13" s="8"/>
      <c r="AF13" s="3">
        <v>80</v>
      </c>
      <c r="AG13" s="8" t="s">
        <v>41</v>
      </c>
      <c r="AH13" s="3"/>
      <c r="AI13" s="3"/>
      <c r="AJ13" s="3">
        <v>100</v>
      </c>
      <c r="AK13" s="34" t="s">
        <v>59</v>
      </c>
      <c r="AL13" s="3"/>
      <c r="AM13" s="3"/>
      <c r="AN13" s="3">
        <v>100</v>
      </c>
      <c r="AO13" s="8" t="s">
        <v>11</v>
      </c>
      <c r="AR13" s="18" t="s">
        <v>5</v>
      </c>
      <c r="AS13" s="21">
        <f>AJ15</f>
        <v>99</v>
      </c>
      <c r="AT13" s="21">
        <f t="shared" si="3"/>
        <v>92.666666666666671</v>
      </c>
    </row>
    <row r="14" spans="1:47" s="10" customFormat="1" ht="19.5" customHeight="1" x14ac:dyDescent="0.3">
      <c r="A14" s="17" t="s">
        <v>6</v>
      </c>
      <c r="B14" s="3">
        <v>88</v>
      </c>
      <c r="C14" s="3">
        <v>94</v>
      </c>
      <c r="D14" s="7">
        <f t="shared" si="2"/>
        <v>91</v>
      </c>
      <c r="E14" s="24" t="s">
        <v>38</v>
      </c>
      <c r="F14" s="12"/>
      <c r="G14" s="12"/>
      <c r="H14" s="29">
        <v>100</v>
      </c>
      <c r="I14" s="24" t="s">
        <v>57</v>
      </c>
      <c r="J14" s="3">
        <v>75</v>
      </c>
      <c r="K14" s="3">
        <v>80</v>
      </c>
      <c r="L14" s="3">
        <f t="shared" si="0"/>
        <v>77.5</v>
      </c>
      <c r="M14" s="8" t="s">
        <v>49</v>
      </c>
      <c r="N14" s="8"/>
      <c r="O14" s="8"/>
      <c r="P14" s="8"/>
      <c r="Q14" s="8" t="s">
        <v>117</v>
      </c>
      <c r="R14" s="3">
        <v>90</v>
      </c>
      <c r="S14" s="3">
        <v>100</v>
      </c>
      <c r="T14" s="7">
        <f>AVERAGE(R14:S14)</f>
        <v>95</v>
      </c>
      <c r="U14" s="33" t="s">
        <v>50</v>
      </c>
      <c r="V14" s="3"/>
      <c r="W14" s="3"/>
      <c r="X14" s="3">
        <v>100</v>
      </c>
      <c r="Y14" s="9" t="s">
        <v>11</v>
      </c>
      <c r="Z14" s="3"/>
      <c r="AA14" s="3"/>
      <c r="AB14" s="3">
        <v>90</v>
      </c>
      <c r="AC14" s="24" t="s">
        <v>55</v>
      </c>
      <c r="AD14" s="8"/>
      <c r="AE14" s="8"/>
      <c r="AF14" s="3">
        <v>80</v>
      </c>
      <c r="AG14" s="8" t="s">
        <v>41</v>
      </c>
      <c r="AH14" s="3"/>
      <c r="AI14" s="3"/>
      <c r="AJ14" s="3">
        <v>100</v>
      </c>
      <c r="AK14" s="34" t="s">
        <v>59</v>
      </c>
      <c r="AL14" s="3"/>
      <c r="AM14" s="3"/>
      <c r="AN14" s="3">
        <v>70</v>
      </c>
      <c r="AO14" s="8" t="s">
        <v>11</v>
      </c>
      <c r="AR14" s="18" t="s">
        <v>6</v>
      </c>
      <c r="AS14" s="21">
        <f>AN15</f>
        <v>79</v>
      </c>
      <c r="AT14" s="21">
        <f t="shared" si="3"/>
        <v>89.277777777777771</v>
      </c>
    </row>
    <row r="15" spans="1:47" ht="18.75" x14ac:dyDescent="0.3">
      <c r="A15" s="19" t="s">
        <v>33</v>
      </c>
      <c r="B15" s="19"/>
      <c r="C15" s="19"/>
      <c r="D15" s="19">
        <f>AVERAGE(D5:D14)</f>
        <v>91</v>
      </c>
      <c r="E15" s="19"/>
      <c r="F15" s="19"/>
      <c r="G15" s="19"/>
      <c r="H15" s="19">
        <f t="shared" ref="H15:AN15" si="4">AVERAGE(H5:H14)</f>
        <v>100</v>
      </c>
      <c r="I15" s="19"/>
      <c r="J15" s="19"/>
      <c r="K15" s="19"/>
      <c r="L15" s="19">
        <f t="shared" si="4"/>
        <v>67</v>
      </c>
      <c r="M15" s="19"/>
      <c r="N15" s="19"/>
      <c r="O15" s="19"/>
      <c r="P15" s="19"/>
      <c r="Q15" s="19"/>
      <c r="R15" s="19"/>
      <c r="S15" s="19"/>
      <c r="T15" s="19">
        <f t="shared" si="4"/>
        <v>95.5</v>
      </c>
      <c r="U15" s="19"/>
      <c r="V15" s="19"/>
      <c r="W15" s="19"/>
      <c r="X15" s="19">
        <f t="shared" si="4"/>
        <v>100</v>
      </c>
      <c r="Y15" s="19"/>
      <c r="Z15" s="19"/>
      <c r="AA15" s="19"/>
      <c r="AB15" s="35">
        <f t="shared" si="4"/>
        <v>88.2</v>
      </c>
      <c r="AC15" s="19"/>
      <c r="AD15" s="19"/>
      <c r="AE15" s="19"/>
      <c r="AF15" s="19">
        <f t="shared" si="4"/>
        <v>79</v>
      </c>
      <c r="AG15" s="19"/>
      <c r="AH15" s="19"/>
      <c r="AI15" s="19"/>
      <c r="AJ15" s="35">
        <f t="shared" si="4"/>
        <v>99</v>
      </c>
      <c r="AK15" s="19"/>
      <c r="AL15" s="19"/>
      <c r="AM15" s="19"/>
      <c r="AN15" s="19">
        <f t="shared" si="4"/>
        <v>79</v>
      </c>
      <c r="AO15" s="19"/>
    </row>
    <row r="16" spans="1:47" x14ac:dyDescent="0.25">
      <c r="AL16" s="2"/>
      <c r="AM16" s="2"/>
      <c r="AN16" s="2"/>
    </row>
    <row r="25" spans="40:45" x14ac:dyDescent="0.25">
      <c r="AR25" s="37" t="s">
        <v>7</v>
      </c>
      <c r="AS25" s="22" t="s">
        <v>34</v>
      </c>
    </row>
    <row r="26" spans="40:45" x14ac:dyDescent="0.25">
      <c r="AR26" t="s">
        <v>0</v>
      </c>
      <c r="AS26" s="39">
        <v>67</v>
      </c>
    </row>
    <row r="27" spans="40:45" x14ac:dyDescent="0.25">
      <c r="AR27" t="s">
        <v>4</v>
      </c>
      <c r="AS27" s="39">
        <v>79</v>
      </c>
    </row>
    <row r="28" spans="40:45" x14ac:dyDescent="0.25">
      <c r="AR28" t="s">
        <v>6</v>
      </c>
      <c r="AS28" s="39">
        <v>79</v>
      </c>
    </row>
    <row r="29" spans="40:45" x14ac:dyDescent="0.25">
      <c r="AN29"/>
      <c r="AR29" t="s">
        <v>3</v>
      </c>
      <c r="AS29" s="22">
        <v>88.2</v>
      </c>
    </row>
    <row r="30" spans="40:45" x14ac:dyDescent="0.25">
      <c r="AN30"/>
      <c r="AR30" t="s">
        <v>25</v>
      </c>
      <c r="AS30" s="39">
        <v>91</v>
      </c>
    </row>
    <row r="31" spans="40:45" x14ac:dyDescent="0.25">
      <c r="AN31"/>
      <c r="AR31" t="s">
        <v>1</v>
      </c>
      <c r="AS31" s="22">
        <v>95.5</v>
      </c>
    </row>
    <row r="32" spans="40:45" x14ac:dyDescent="0.25">
      <c r="AN32"/>
      <c r="AR32" t="s">
        <v>5</v>
      </c>
      <c r="AS32" s="39">
        <v>99</v>
      </c>
    </row>
    <row r="33" spans="40:45" x14ac:dyDescent="0.25">
      <c r="AN33"/>
      <c r="AR33" t="s">
        <v>30</v>
      </c>
      <c r="AS33" s="39">
        <v>100</v>
      </c>
    </row>
    <row r="34" spans="40:45" x14ac:dyDescent="0.25">
      <c r="AN34"/>
      <c r="AR34" t="s">
        <v>2</v>
      </c>
      <c r="AS34" s="39">
        <v>100</v>
      </c>
    </row>
    <row r="35" spans="40:45" x14ac:dyDescent="0.25">
      <c r="AN35"/>
      <c r="AR35" t="s">
        <v>117</v>
      </c>
    </row>
    <row r="36" spans="40:45" x14ac:dyDescent="0.25">
      <c r="AN36"/>
      <c r="AR36" s="37"/>
    </row>
    <row r="37" spans="40:45" x14ac:dyDescent="0.25">
      <c r="AN37"/>
      <c r="AR37" s="37"/>
    </row>
    <row r="38" spans="40:45" x14ac:dyDescent="0.25">
      <c r="AN38"/>
      <c r="AR38" s="37"/>
    </row>
    <row r="39" spans="40:45" x14ac:dyDescent="0.25">
      <c r="AN39"/>
      <c r="AR39" s="37" t="s">
        <v>7</v>
      </c>
      <c r="AS39" s="22" t="s">
        <v>35</v>
      </c>
    </row>
    <row r="40" spans="40:45" x14ac:dyDescent="0.25">
      <c r="AN40"/>
      <c r="AR40" t="s">
        <v>30</v>
      </c>
      <c r="AS40" s="22">
        <v>76.666666666666671</v>
      </c>
    </row>
    <row r="41" spans="40:45" x14ac:dyDescent="0.25">
      <c r="AN41"/>
      <c r="AR41" t="s">
        <v>25</v>
      </c>
      <c r="AS41" s="22">
        <v>80.277777777777771</v>
      </c>
    </row>
    <row r="42" spans="40:45" x14ac:dyDescent="0.25">
      <c r="AN42"/>
      <c r="AR42" t="s">
        <v>4</v>
      </c>
      <c r="AS42" s="22">
        <v>85.277777777777771</v>
      </c>
    </row>
    <row r="43" spans="40:45" x14ac:dyDescent="0.25">
      <c r="AN43"/>
      <c r="AR43" t="s">
        <v>1</v>
      </c>
      <c r="AS43" s="22">
        <v>86.944444444444443</v>
      </c>
    </row>
    <row r="44" spans="40:45" x14ac:dyDescent="0.25">
      <c r="AN44"/>
      <c r="AR44" t="s">
        <v>6</v>
      </c>
      <c r="AS44" s="22">
        <v>89.277777777777771</v>
      </c>
    </row>
    <row r="45" spans="40:45" x14ac:dyDescent="0.25">
      <c r="AN45"/>
      <c r="AR45" t="s">
        <v>0</v>
      </c>
      <c r="AS45" s="22">
        <v>91.388888888888886</v>
      </c>
    </row>
    <row r="46" spans="40:45" x14ac:dyDescent="0.25">
      <c r="AN46"/>
      <c r="AR46" t="s">
        <v>5</v>
      </c>
      <c r="AS46" s="22">
        <v>92.666666666666671</v>
      </c>
    </row>
    <row r="47" spans="40:45" x14ac:dyDescent="0.25">
      <c r="AN47"/>
      <c r="AR47" t="s">
        <v>2</v>
      </c>
      <c r="AS47" s="22">
        <v>94.111111111111114</v>
      </c>
    </row>
    <row r="48" spans="40:45" x14ac:dyDescent="0.25">
      <c r="AN48"/>
      <c r="AR48" t="s">
        <v>117</v>
      </c>
      <c r="AS48" s="22">
        <v>95.277777777777771</v>
      </c>
    </row>
    <row r="49" spans="40:45" x14ac:dyDescent="0.25">
      <c r="AN49"/>
      <c r="AR49" t="s">
        <v>3</v>
      </c>
      <c r="AS49" s="22">
        <v>95.555555555555557</v>
      </c>
    </row>
    <row r="50" spans="40:45" x14ac:dyDescent="0.25">
      <c r="AN50"/>
    </row>
    <row r="51" spans="40:45" x14ac:dyDescent="0.25">
      <c r="AN51"/>
    </row>
    <row r="52" spans="40:45" x14ac:dyDescent="0.25">
      <c r="AN52"/>
    </row>
    <row r="53" spans="40:45" x14ac:dyDescent="0.25">
      <c r="AN53"/>
    </row>
    <row r="54" spans="40:45" x14ac:dyDescent="0.25">
      <c r="AN54"/>
    </row>
    <row r="55" spans="40:45" x14ac:dyDescent="0.25">
      <c r="AN55"/>
    </row>
    <row r="56" spans="40:45" x14ac:dyDescent="0.25">
      <c r="AN56"/>
    </row>
    <row r="57" spans="40:45" x14ac:dyDescent="0.25">
      <c r="AN57"/>
    </row>
    <row r="58" spans="40:45" x14ac:dyDescent="0.25">
      <c r="AN58"/>
    </row>
  </sheetData>
  <mergeCells count="11">
    <mergeCell ref="AL3:AO3"/>
    <mergeCell ref="B2:AO2"/>
    <mergeCell ref="B3:E3"/>
    <mergeCell ref="F3:I3"/>
    <mergeCell ref="J3:M3"/>
    <mergeCell ref="N3:Q3"/>
    <mergeCell ref="R3:U3"/>
    <mergeCell ref="V3:Y3"/>
    <mergeCell ref="Z3:AC3"/>
    <mergeCell ref="AD3:AG3"/>
    <mergeCell ref="AH3:AK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4FDC2-62A3-4AA8-83FD-85B51B52073B}">
  <sheetPr>
    <pageSetUpPr fitToPage="1"/>
  </sheetPr>
  <dimension ref="A2:AU67"/>
  <sheetViews>
    <sheetView topLeftCell="AJ1" zoomScale="85" zoomScaleNormal="85" workbookViewId="0">
      <selection activeCell="AO14" sqref="AO14"/>
    </sheetView>
  </sheetViews>
  <sheetFormatPr defaultRowHeight="15" x14ac:dyDescent="0.25"/>
  <cols>
    <col min="1" max="1" width="26.7109375" bestFit="1" customWidth="1"/>
    <col min="2" max="2" width="9.28515625" customWidth="1"/>
    <col min="3" max="3" width="11.5703125" customWidth="1"/>
    <col min="4" max="4" width="9.42578125" customWidth="1"/>
    <col min="5" max="5" width="48.85546875" bestFit="1" customWidth="1"/>
    <col min="7" max="7" width="9.5703125" customWidth="1"/>
    <col min="8" max="8" width="10" style="30" customWidth="1"/>
    <col min="9" max="9" width="24.28515625" bestFit="1" customWidth="1"/>
    <col min="10" max="10" width="10.140625" customWidth="1"/>
    <col min="11" max="11" width="12.85546875" customWidth="1"/>
    <col min="12" max="12" width="11.140625" customWidth="1"/>
    <col min="13" max="13" width="39.140625" bestFit="1" customWidth="1"/>
    <col min="14" max="14" width="10.85546875" customWidth="1"/>
    <col min="15" max="15" width="10.5703125" customWidth="1"/>
    <col min="16" max="16" width="10.42578125" customWidth="1"/>
    <col min="17" max="17" width="17.7109375" customWidth="1"/>
    <col min="18" max="18" width="8.5703125" customWidth="1"/>
    <col min="19" max="19" width="9.7109375" customWidth="1"/>
    <col min="20" max="20" width="10.5703125" customWidth="1"/>
    <col min="21" max="21" width="35.42578125" bestFit="1" customWidth="1"/>
    <col min="23" max="23" width="9.28515625" customWidth="1"/>
    <col min="24" max="24" width="9.85546875" customWidth="1"/>
    <col min="25" max="25" width="19" customWidth="1"/>
    <col min="26" max="26" width="10.5703125" customWidth="1"/>
    <col min="27" max="27" width="11.85546875" customWidth="1"/>
    <col min="28" max="28" width="11" customWidth="1"/>
    <col min="29" max="29" width="29.7109375" bestFit="1" customWidth="1"/>
    <col min="30" max="30" width="9" bestFit="1" customWidth="1"/>
    <col min="31" max="32" width="9" customWidth="1"/>
    <col min="33" max="33" width="17.42578125" bestFit="1" customWidth="1"/>
    <col min="34" max="34" width="10.140625" style="1" customWidth="1"/>
    <col min="35" max="35" width="9.7109375" style="1" customWidth="1"/>
    <col min="36" max="36" width="10.7109375" style="1" customWidth="1"/>
    <col min="37" max="37" width="42.85546875" bestFit="1" customWidth="1"/>
    <col min="38" max="38" width="10" style="1" customWidth="1"/>
    <col min="39" max="39" width="10.42578125" style="1" customWidth="1"/>
    <col min="40" max="40" width="9.28515625" style="1" customWidth="1"/>
    <col min="41" max="41" width="20.7109375" customWidth="1"/>
    <col min="44" max="44" width="32.85546875"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31.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10" customFormat="1" ht="18.75" x14ac:dyDescent="0.3">
      <c r="A5" s="16" t="s">
        <v>25</v>
      </c>
      <c r="B5" s="7">
        <v>90</v>
      </c>
      <c r="C5" s="7">
        <v>95</v>
      </c>
      <c r="D5" s="7">
        <f>AVERAGE(B5:C5)</f>
        <v>92.5</v>
      </c>
      <c r="E5" s="24" t="s">
        <v>62</v>
      </c>
      <c r="F5" s="3"/>
      <c r="G5" s="3"/>
      <c r="H5" s="27">
        <v>100</v>
      </c>
      <c r="I5" s="24" t="s">
        <v>11</v>
      </c>
      <c r="J5" s="7">
        <v>90</v>
      </c>
      <c r="K5" s="7">
        <v>95</v>
      </c>
      <c r="L5" s="7">
        <f t="shared" ref="L5:L14" si="0">AVERAGE(J5:K5)</f>
        <v>92.5</v>
      </c>
      <c r="M5" s="24" t="s">
        <v>63</v>
      </c>
      <c r="N5" s="9"/>
      <c r="O5" s="9"/>
      <c r="P5" s="9"/>
      <c r="Q5" s="9" t="s">
        <v>11</v>
      </c>
      <c r="R5" s="7">
        <v>95</v>
      </c>
      <c r="S5" s="7">
        <v>100</v>
      </c>
      <c r="T5" s="7">
        <f t="shared" ref="T5:T12" si="1">AVERAGE(R5:S5)</f>
        <v>97.5</v>
      </c>
      <c r="U5" s="33" t="s">
        <v>64</v>
      </c>
      <c r="V5" s="7"/>
      <c r="W5" s="7"/>
      <c r="X5" s="7">
        <v>100</v>
      </c>
      <c r="Y5" s="9" t="s">
        <v>38</v>
      </c>
      <c r="Z5" s="7"/>
      <c r="AA5" s="7"/>
      <c r="AB5" s="7">
        <v>80</v>
      </c>
      <c r="AC5" s="24" t="s">
        <v>40</v>
      </c>
      <c r="AD5" s="9"/>
      <c r="AE5" s="9"/>
      <c r="AF5" s="7">
        <v>100</v>
      </c>
      <c r="AG5" s="8" t="s">
        <v>11</v>
      </c>
      <c r="AH5" s="7"/>
      <c r="AI5" s="7"/>
      <c r="AJ5" s="7">
        <v>100</v>
      </c>
      <c r="AK5" s="25" t="s">
        <v>61</v>
      </c>
      <c r="AL5" s="7"/>
      <c r="AM5" s="7"/>
      <c r="AN5" s="7">
        <v>0</v>
      </c>
      <c r="AO5" s="8" t="s">
        <v>10</v>
      </c>
      <c r="AR5" s="18" t="s">
        <v>25</v>
      </c>
      <c r="AS5" s="21">
        <f>D15</f>
        <v>89.1</v>
      </c>
      <c r="AT5" s="21">
        <f>AVERAGE(D5,H5,L5,T5,X5,AB5,AF5,AJ5,AN5)</f>
        <v>84.722222222222229</v>
      </c>
    </row>
    <row r="6" spans="1:47" s="10" customFormat="1" ht="18.75" x14ac:dyDescent="0.3">
      <c r="A6" s="17" t="s">
        <v>30</v>
      </c>
      <c r="B6" s="3">
        <v>60</v>
      </c>
      <c r="C6" s="3">
        <v>70</v>
      </c>
      <c r="D6" s="7">
        <f t="shared" ref="D6:D14" si="2">AVERAGE(B6:C6)</f>
        <v>65</v>
      </c>
      <c r="E6" s="24" t="s">
        <v>65</v>
      </c>
      <c r="F6" s="12"/>
      <c r="G6" s="12"/>
      <c r="H6" s="28">
        <v>0</v>
      </c>
      <c r="I6" s="24" t="s">
        <v>10</v>
      </c>
      <c r="J6" s="3">
        <v>20</v>
      </c>
      <c r="K6" s="3">
        <v>30</v>
      </c>
      <c r="L6" s="7">
        <f t="shared" si="0"/>
        <v>25</v>
      </c>
      <c r="M6" s="8" t="s">
        <v>49</v>
      </c>
      <c r="N6" s="8"/>
      <c r="O6" s="8"/>
      <c r="P6" s="8"/>
      <c r="Q6" s="9" t="s">
        <v>11</v>
      </c>
      <c r="R6" s="7">
        <v>95</v>
      </c>
      <c r="S6" s="7">
        <v>100</v>
      </c>
      <c r="T6" s="7">
        <f t="shared" si="1"/>
        <v>97.5</v>
      </c>
      <c r="U6" s="33" t="s">
        <v>64</v>
      </c>
      <c r="V6" s="3"/>
      <c r="W6" s="3"/>
      <c r="X6" s="3">
        <v>100</v>
      </c>
      <c r="Y6" s="9" t="s">
        <v>38</v>
      </c>
      <c r="Z6" s="3"/>
      <c r="AA6" s="3"/>
      <c r="AB6" s="3">
        <v>60</v>
      </c>
      <c r="AC6" s="24" t="s">
        <v>40</v>
      </c>
      <c r="AD6" s="8"/>
      <c r="AE6" s="8"/>
      <c r="AF6" s="3">
        <v>100</v>
      </c>
      <c r="AG6" s="8" t="s">
        <v>11</v>
      </c>
      <c r="AH6" s="7"/>
      <c r="AI6" s="3"/>
      <c r="AJ6" s="3">
        <v>100</v>
      </c>
      <c r="AK6" s="25" t="s">
        <v>57</v>
      </c>
      <c r="AL6" s="3">
        <v>0</v>
      </c>
      <c r="AM6" s="3">
        <v>20</v>
      </c>
      <c r="AN6" s="3">
        <f>AVERAGE(AL6:AM6)</f>
        <v>10</v>
      </c>
      <c r="AO6" s="8" t="s">
        <v>11</v>
      </c>
      <c r="AR6" s="18" t="s">
        <v>30</v>
      </c>
      <c r="AS6" s="21">
        <f>H15</f>
        <v>90</v>
      </c>
      <c r="AT6" s="21">
        <f t="shared" ref="AT6:AT14" si="3">AVERAGE(D6,H6,L6,T6,X6,AB6,AF6,AJ6,AN6)</f>
        <v>61.944444444444443</v>
      </c>
    </row>
    <row r="7" spans="1:47" s="10" customFormat="1" ht="18.75" x14ac:dyDescent="0.3">
      <c r="A7" s="17" t="s">
        <v>0</v>
      </c>
      <c r="B7" s="3">
        <v>90</v>
      </c>
      <c r="C7" s="3">
        <v>95</v>
      </c>
      <c r="D7" s="7">
        <f t="shared" si="2"/>
        <v>92.5</v>
      </c>
      <c r="E7" s="24" t="s">
        <v>65</v>
      </c>
      <c r="F7" s="12"/>
      <c r="G7" s="12"/>
      <c r="H7" s="28">
        <v>100</v>
      </c>
      <c r="I7" s="24" t="s">
        <v>11</v>
      </c>
      <c r="J7" s="3">
        <v>85</v>
      </c>
      <c r="K7" s="3">
        <v>90</v>
      </c>
      <c r="L7" s="7">
        <f t="shared" si="0"/>
        <v>87.5</v>
      </c>
      <c r="M7" s="8" t="s">
        <v>49</v>
      </c>
      <c r="N7" s="8"/>
      <c r="O7" s="8"/>
      <c r="P7" s="8"/>
      <c r="Q7" s="9" t="s">
        <v>11</v>
      </c>
      <c r="R7" s="7">
        <v>90</v>
      </c>
      <c r="S7" s="7">
        <v>100</v>
      </c>
      <c r="T7" s="7">
        <f t="shared" si="1"/>
        <v>95</v>
      </c>
      <c r="U7" s="33" t="s">
        <v>66</v>
      </c>
      <c r="V7" s="3"/>
      <c r="W7" s="3"/>
      <c r="X7" s="36">
        <v>95</v>
      </c>
      <c r="Y7" s="9" t="s">
        <v>11</v>
      </c>
      <c r="Z7" s="3"/>
      <c r="AA7" s="3"/>
      <c r="AB7" s="3">
        <v>70</v>
      </c>
      <c r="AC7" s="24" t="s">
        <v>40</v>
      </c>
      <c r="AD7" s="8"/>
      <c r="AE7" s="8"/>
      <c r="AF7" s="3">
        <v>100</v>
      </c>
      <c r="AG7" s="8" t="s">
        <v>11</v>
      </c>
      <c r="AH7" s="7"/>
      <c r="AI7" s="3"/>
      <c r="AJ7" s="3">
        <v>100</v>
      </c>
      <c r="AK7" s="25" t="s">
        <v>61</v>
      </c>
      <c r="AL7" s="3">
        <v>0</v>
      </c>
      <c r="AM7" s="3">
        <v>20</v>
      </c>
      <c r="AN7" s="3">
        <f>AVERAGE(AL7:AM7)</f>
        <v>10</v>
      </c>
      <c r="AO7" s="8" t="s">
        <v>11</v>
      </c>
      <c r="AR7" s="18" t="s">
        <v>0</v>
      </c>
      <c r="AS7" s="21">
        <f>L15</f>
        <v>76.650000000000006</v>
      </c>
      <c r="AT7" s="21">
        <f t="shared" si="3"/>
        <v>83.333333333333329</v>
      </c>
    </row>
    <row r="8" spans="1:47" s="10" customFormat="1" ht="18.75" x14ac:dyDescent="0.3">
      <c r="A8" s="17" t="s">
        <v>117</v>
      </c>
      <c r="B8" s="3">
        <v>85</v>
      </c>
      <c r="C8" s="3">
        <v>90</v>
      </c>
      <c r="D8" s="7">
        <f t="shared" si="2"/>
        <v>87.5</v>
      </c>
      <c r="E8" s="24" t="s">
        <v>65</v>
      </c>
      <c r="F8" s="12"/>
      <c r="G8" s="12"/>
      <c r="H8" s="28">
        <v>100</v>
      </c>
      <c r="I8" s="24" t="s">
        <v>11</v>
      </c>
      <c r="J8" s="3">
        <v>90</v>
      </c>
      <c r="K8" s="3">
        <v>95</v>
      </c>
      <c r="L8" s="7">
        <f t="shared" si="0"/>
        <v>92.5</v>
      </c>
      <c r="M8" s="24" t="s">
        <v>63</v>
      </c>
      <c r="N8" s="8"/>
      <c r="O8" s="8"/>
      <c r="P8" s="8"/>
      <c r="Q8" s="9" t="s">
        <v>11</v>
      </c>
      <c r="R8" s="7">
        <v>90</v>
      </c>
      <c r="S8" s="7">
        <v>100</v>
      </c>
      <c r="T8" s="7">
        <f t="shared" si="1"/>
        <v>95</v>
      </c>
      <c r="U8" s="33" t="s">
        <v>66</v>
      </c>
      <c r="V8" s="3">
        <v>90</v>
      </c>
      <c r="W8" s="3">
        <v>95</v>
      </c>
      <c r="X8" s="36">
        <f>AVERAGE(V8:W8)</f>
        <v>92.5</v>
      </c>
      <c r="Y8" s="9" t="s">
        <v>11</v>
      </c>
      <c r="Z8" s="3"/>
      <c r="AA8" s="3"/>
      <c r="AB8" s="3">
        <v>80</v>
      </c>
      <c r="AC8" s="24" t="s">
        <v>40</v>
      </c>
      <c r="AD8" s="8"/>
      <c r="AE8" s="8"/>
      <c r="AF8" s="3">
        <v>100</v>
      </c>
      <c r="AG8" s="8" t="s">
        <v>11</v>
      </c>
      <c r="AH8" s="3"/>
      <c r="AI8" s="3"/>
      <c r="AJ8" s="3">
        <v>100</v>
      </c>
      <c r="AK8" s="25" t="s">
        <v>61</v>
      </c>
      <c r="AL8" s="3">
        <v>0</v>
      </c>
      <c r="AM8" s="3">
        <v>20</v>
      </c>
      <c r="AN8" s="3">
        <f t="shared" ref="AN8:AN11" si="4">AVERAGE(AL8:AM8)</f>
        <v>10</v>
      </c>
      <c r="AO8" s="8" t="s">
        <v>11</v>
      </c>
      <c r="AR8" s="18" t="s">
        <v>117</v>
      </c>
      <c r="AS8" s="21">
        <f>P15</f>
        <v>50</v>
      </c>
      <c r="AT8" s="21">
        <f t="shared" si="3"/>
        <v>84.166666666666671</v>
      </c>
    </row>
    <row r="9" spans="1:47" s="10" customFormat="1" ht="18.75" x14ac:dyDescent="0.3">
      <c r="A9" s="17" t="s">
        <v>1</v>
      </c>
      <c r="B9" s="3">
        <v>90</v>
      </c>
      <c r="C9" s="3">
        <v>95</v>
      </c>
      <c r="D9" s="7">
        <f t="shared" si="2"/>
        <v>92.5</v>
      </c>
      <c r="E9" s="24" t="s">
        <v>65</v>
      </c>
      <c r="F9" s="12"/>
      <c r="G9" s="12"/>
      <c r="H9" s="28">
        <v>100</v>
      </c>
      <c r="I9" s="24" t="s">
        <v>11</v>
      </c>
      <c r="J9" s="3">
        <v>15</v>
      </c>
      <c r="K9" s="3">
        <v>25</v>
      </c>
      <c r="L9" s="7">
        <f t="shared" si="0"/>
        <v>20</v>
      </c>
      <c r="M9" s="8" t="s">
        <v>67</v>
      </c>
      <c r="N9" s="8"/>
      <c r="O9" s="8"/>
      <c r="P9" s="8"/>
      <c r="Q9" s="9" t="s">
        <v>11</v>
      </c>
      <c r="R9" s="7">
        <v>90</v>
      </c>
      <c r="S9" s="7">
        <v>100</v>
      </c>
      <c r="T9" s="7">
        <f t="shared" si="1"/>
        <v>95</v>
      </c>
      <c r="U9" s="33" t="s">
        <v>50</v>
      </c>
      <c r="V9" s="3"/>
      <c r="W9" s="3"/>
      <c r="X9" s="3">
        <v>100</v>
      </c>
      <c r="Y9" s="9" t="s">
        <v>11</v>
      </c>
      <c r="Z9" s="7"/>
      <c r="AA9" s="7"/>
      <c r="AB9" s="7">
        <v>75</v>
      </c>
      <c r="AC9" s="24" t="s">
        <v>40</v>
      </c>
      <c r="AD9" s="8"/>
      <c r="AE9" s="8"/>
      <c r="AF9" s="3">
        <v>100</v>
      </c>
      <c r="AG9" s="8" t="s">
        <v>11</v>
      </c>
      <c r="AH9" s="3"/>
      <c r="AI9" s="3"/>
      <c r="AJ9" s="3">
        <v>100</v>
      </c>
      <c r="AK9" s="25" t="s">
        <v>61</v>
      </c>
      <c r="AL9" s="3">
        <v>0</v>
      </c>
      <c r="AM9" s="3">
        <v>20</v>
      </c>
      <c r="AN9" s="3">
        <f t="shared" si="4"/>
        <v>10</v>
      </c>
      <c r="AO9" s="8" t="s">
        <v>11</v>
      </c>
      <c r="AR9" s="18" t="s">
        <v>1</v>
      </c>
      <c r="AS9" s="21">
        <f>T15</f>
        <v>94</v>
      </c>
      <c r="AT9" s="21">
        <f t="shared" si="3"/>
        <v>76.944444444444443</v>
      </c>
    </row>
    <row r="10" spans="1:47" s="10" customFormat="1" ht="18.75" x14ac:dyDescent="0.3">
      <c r="A10" s="17" t="s">
        <v>2</v>
      </c>
      <c r="B10" s="3">
        <v>92</v>
      </c>
      <c r="C10" s="3">
        <v>96</v>
      </c>
      <c r="D10" s="7">
        <f t="shared" si="2"/>
        <v>94</v>
      </c>
      <c r="E10" s="24" t="s">
        <v>65</v>
      </c>
      <c r="F10" s="12"/>
      <c r="G10" s="12"/>
      <c r="H10" s="29">
        <v>100</v>
      </c>
      <c r="I10" s="24" t="s">
        <v>11</v>
      </c>
      <c r="J10" s="3">
        <v>95</v>
      </c>
      <c r="K10" s="3">
        <v>98</v>
      </c>
      <c r="L10" s="7">
        <f t="shared" si="0"/>
        <v>96.5</v>
      </c>
      <c r="M10" s="24" t="s">
        <v>63</v>
      </c>
      <c r="N10" s="8"/>
      <c r="O10" s="8"/>
      <c r="P10" s="8"/>
      <c r="Q10" s="9" t="s">
        <v>11</v>
      </c>
      <c r="R10" s="7">
        <v>90</v>
      </c>
      <c r="S10" s="7">
        <v>100</v>
      </c>
      <c r="T10" s="7">
        <f t="shared" si="1"/>
        <v>95</v>
      </c>
      <c r="U10" s="33" t="s">
        <v>66</v>
      </c>
      <c r="V10" s="3">
        <v>85</v>
      </c>
      <c r="W10" s="3">
        <v>90</v>
      </c>
      <c r="X10" s="3">
        <f>AVERAGE(V10:W10)</f>
        <v>87.5</v>
      </c>
      <c r="Y10" s="33" t="s">
        <v>50</v>
      </c>
      <c r="Z10" s="3"/>
      <c r="AA10" s="3"/>
      <c r="AB10" s="3">
        <v>90</v>
      </c>
      <c r="AC10" s="24" t="s">
        <v>40</v>
      </c>
      <c r="AD10" s="8"/>
      <c r="AE10" s="8"/>
      <c r="AF10" s="3">
        <v>100</v>
      </c>
      <c r="AG10" s="8" t="s">
        <v>11</v>
      </c>
      <c r="AH10" s="3"/>
      <c r="AI10" s="3"/>
      <c r="AJ10" s="3">
        <v>100</v>
      </c>
      <c r="AK10" s="25" t="s">
        <v>61</v>
      </c>
      <c r="AL10" s="3">
        <v>0</v>
      </c>
      <c r="AM10" s="3">
        <v>20</v>
      </c>
      <c r="AN10" s="3">
        <f t="shared" si="4"/>
        <v>10</v>
      </c>
      <c r="AO10" s="8" t="s">
        <v>11</v>
      </c>
      <c r="AR10" s="18" t="s">
        <v>2</v>
      </c>
      <c r="AS10" s="21">
        <f>X15</f>
        <v>96.25</v>
      </c>
      <c r="AT10" s="21">
        <f t="shared" si="3"/>
        <v>85.888888888888886</v>
      </c>
    </row>
    <row r="11" spans="1:47" s="10" customFormat="1" ht="18.75" customHeight="1" x14ac:dyDescent="0.3">
      <c r="A11" s="17" t="s">
        <v>3</v>
      </c>
      <c r="B11" s="3">
        <v>80</v>
      </c>
      <c r="C11" s="3">
        <v>85</v>
      </c>
      <c r="D11" s="7">
        <f t="shared" si="2"/>
        <v>82.5</v>
      </c>
      <c r="E11" s="24" t="s">
        <v>65</v>
      </c>
      <c r="F11" s="12"/>
      <c r="G11" s="12"/>
      <c r="H11" s="29">
        <v>100</v>
      </c>
      <c r="I11" s="24" t="s">
        <v>11</v>
      </c>
      <c r="J11" s="3">
        <v>90</v>
      </c>
      <c r="K11" s="3">
        <v>95</v>
      </c>
      <c r="L11" s="7">
        <f t="shared" si="0"/>
        <v>92.5</v>
      </c>
      <c r="M11" s="24" t="s">
        <v>68</v>
      </c>
      <c r="N11" s="8"/>
      <c r="O11" s="8"/>
      <c r="P11" s="8"/>
      <c r="Q11" s="9" t="s">
        <v>11</v>
      </c>
      <c r="R11" s="7">
        <v>85</v>
      </c>
      <c r="S11" s="7">
        <v>95</v>
      </c>
      <c r="T11" s="7">
        <f t="shared" si="1"/>
        <v>90</v>
      </c>
      <c r="U11" s="33" t="s">
        <v>49</v>
      </c>
      <c r="V11" s="3"/>
      <c r="W11" s="3">
        <v>95</v>
      </c>
      <c r="X11" s="3">
        <f t="shared" ref="X11:X12" si="5">AVERAGE(V11:W11)</f>
        <v>95</v>
      </c>
      <c r="Y11" s="33" t="s">
        <v>50</v>
      </c>
      <c r="Z11" s="3"/>
      <c r="AA11" s="3"/>
      <c r="AB11" s="3">
        <v>85</v>
      </c>
      <c r="AC11" s="24" t="s">
        <v>40</v>
      </c>
      <c r="AD11" s="8"/>
      <c r="AE11" s="8"/>
      <c r="AF11" s="3">
        <v>100</v>
      </c>
      <c r="AG11" s="8" t="s">
        <v>11</v>
      </c>
      <c r="AH11" s="3"/>
      <c r="AI11" s="3"/>
      <c r="AJ11" s="3">
        <v>85</v>
      </c>
      <c r="AK11" s="25" t="s">
        <v>61</v>
      </c>
      <c r="AL11" s="3">
        <v>0</v>
      </c>
      <c r="AM11" s="3">
        <v>20</v>
      </c>
      <c r="AN11" s="3">
        <f t="shared" si="4"/>
        <v>10</v>
      </c>
      <c r="AO11" s="8" t="s">
        <v>11</v>
      </c>
      <c r="AR11" s="18" t="s">
        <v>3</v>
      </c>
      <c r="AS11" s="32">
        <f>AB15</f>
        <v>79</v>
      </c>
      <c r="AT11" s="21">
        <f t="shared" si="3"/>
        <v>82.222222222222229</v>
      </c>
      <c r="AU11" s="4"/>
    </row>
    <row r="12" spans="1:47" s="10" customFormat="1" ht="20.25" customHeight="1" x14ac:dyDescent="0.3">
      <c r="A12" s="17" t="s">
        <v>4</v>
      </c>
      <c r="B12" s="3">
        <v>90</v>
      </c>
      <c r="C12" s="3">
        <v>94</v>
      </c>
      <c r="D12" s="7">
        <f t="shared" si="2"/>
        <v>92</v>
      </c>
      <c r="E12" s="24" t="s">
        <v>65</v>
      </c>
      <c r="F12" s="12"/>
      <c r="G12" s="12"/>
      <c r="H12" s="29">
        <v>100</v>
      </c>
      <c r="I12" s="24" t="s">
        <v>11</v>
      </c>
      <c r="J12" s="3">
        <v>75</v>
      </c>
      <c r="K12" s="3">
        <v>85</v>
      </c>
      <c r="L12" s="7">
        <f t="shared" si="0"/>
        <v>80</v>
      </c>
      <c r="M12" s="8" t="s">
        <v>49</v>
      </c>
      <c r="N12" s="8"/>
      <c r="O12" s="8"/>
      <c r="P12" s="8"/>
      <c r="Q12" s="9" t="s">
        <v>11</v>
      </c>
      <c r="R12" s="7">
        <v>90</v>
      </c>
      <c r="S12" s="7">
        <v>100</v>
      </c>
      <c r="T12" s="7">
        <f t="shared" si="1"/>
        <v>95</v>
      </c>
      <c r="U12" s="33" t="s">
        <v>66</v>
      </c>
      <c r="V12" s="3">
        <v>90</v>
      </c>
      <c r="W12" s="3">
        <v>95</v>
      </c>
      <c r="X12" s="3">
        <f t="shared" si="5"/>
        <v>92.5</v>
      </c>
      <c r="Y12" s="33" t="s">
        <v>50</v>
      </c>
      <c r="Z12" s="3"/>
      <c r="AA12" s="3"/>
      <c r="AB12" s="3">
        <v>80</v>
      </c>
      <c r="AC12" s="24" t="s">
        <v>40</v>
      </c>
      <c r="AD12" s="8"/>
      <c r="AE12" s="8"/>
      <c r="AF12" s="3">
        <v>100</v>
      </c>
      <c r="AG12" s="8" t="s">
        <v>11</v>
      </c>
      <c r="AH12" s="3"/>
      <c r="AI12" s="3"/>
      <c r="AJ12" s="3">
        <v>100</v>
      </c>
      <c r="AK12" s="38" t="s">
        <v>59</v>
      </c>
      <c r="AL12" s="3"/>
      <c r="AM12" s="3"/>
      <c r="AN12" s="3">
        <v>0</v>
      </c>
      <c r="AO12" s="8" t="s">
        <v>10</v>
      </c>
      <c r="AR12" s="18" t="s">
        <v>4</v>
      </c>
      <c r="AS12" s="21">
        <f>AF15</f>
        <v>100</v>
      </c>
      <c r="AT12" s="21">
        <f t="shared" si="3"/>
        <v>82.166666666666671</v>
      </c>
    </row>
    <row r="13" spans="1:47" s="10" customFormat="1" ht="21" customHeight="1" x14ac:dyDescent="0.3">
      <c r="A13" s="17" t="s">
        <v>5</v>
      </c>
      <c r="B13" s="3">
        <v>90</v>
      </c>
      <c r="C13" s="3">
        <v>100</v>
      </c>
      <c r="D13" s="7">
        <f t="shared" si="2"/>
        <v>95</v>
      </c>
      <c r="E13" s="24" t="s">
        <v>50</v>
      </c>
      <c r="F13" s="12"/>
      <c r="G13" s="12" t="s">
        <v>69</v>
      </c>
      <c r="H13" s="29">
        <v>100</v>
      </c>
      <c r="I13" s="24" t="s">
        <v>57</v>
      </c>
      <c r="J13" s="3">
        <v>90</v>
      </c>
      <c r="K13" s="3">
        <v>95</v>
      </c>
      <c r="L13" s="7">
        <f t="shared" si="0"/>
        <v>92.5</v>
      </c>
      <c r="M13" s="8" t="s">
        <v>49</v>
      </c>
      <c r="N13" s="11">
        <v>40</v>
      </c>
      <c r="O13" s="11">
        <v>50</v>
      </c>
      <c r="P13" s="8">
        <f>AVERAGE(N13:O13)</f>
        <v>45</v>
      </c>
      <c r="Q13" s="9" t="s">
        <v>11</v>
      </c>
      <c r="R13" s="7">
        <v>90</v>
      </c>
      <c r="S13" s="7">
        <v>95</v>
      </c>
      <c r="T13" s="7">
        <f>AVERAGE(R13:S13)</f>
        <v>92.5</v>
      </c>
      <c r="U13" s="33" t="s">
        <v>70</v>
      </c>
      <c r="V13" s="3"/>
      <c r="W13" s="3"/>
      <c r="X13" s="3">
        <v>100</v>
      </c>
      <c r="Y13" s="9" t="s">
        <v>11</v>
      </c>
      <c r="Z13" s="3"/>
      <c r="AA13" s="3"/>
      <c r="AB13" s="3">
        <v>80</v>
      </c>
      <c r="AC13" s="24" t="s">
        <v>71</v>
      </c>
      <c r="AD13" s="8"/>
      <c r="AE13" s="8"/>
      <c r="AF13" s="3">
        <v>100</v>
      </c>
      <c r="AG13" s="8" t="s">
        <v>38</v>
      </c>
      <c r="AH13" s="3">
        <v>60</v>
      </c>
      <c r="AI13" s="3">
        <v>70</v>
      </c>
      <c r="AJ13" s="3">
        <f>AVERAGE(AH13:AI13)</f>
        <v>65</v>
      </c>
      <c r="AK13" s="38" t="s">
        <v>72</v>
      </c>
      <c r="AL13" s="3"/>
      <c r="AM13" s="3"/>
      <c r="AN13" s="3">
        <v>0</v>
      </c>
      <c r="AO13" s="8" t="s">
        <v>10</v>
      </c>
      <c r="AR13" s="18" t="s">
        <v>5</v>
      </c>
      <c r="AS13" s="21">
        <f>AJ15</f>
        <v>93.25</v>
      </c>
      <c r="AT13" s="21">
        <f t="shared" si="3"/>
        <v>80.555555555555557</v>
      </c>
    </row>
    <row r="14" spans="1:47" s="10" customFormat="1" ht="19.5" customHeight="1" x14ac:dyDescent="0.3">
      <c r="A14" s="17" t="s">
        <v>6</v>
      </c>
      <c r="B14" s="3">
        <v>95</v>
      </c>
      <c r="C14" s="3">
        <v>100</v>
      </c>
      <c r="D14" s="7">
        <f t="shared" si="2"/>
        <v>97.5</v>
      </c>
      <c r="E14" s="24" t="s">
        <v>11</v>
      </c>
      <c r="F14" s="12"/>
      <c r="G14" s="12" t="s">
        <v>69</v>
      </c>
      <c r="H14" s="29">
        <v>100</v>
      </c>
      <c r="I14" s="24" t="s">
        <v>73</v>
      </c>
      <c r="J14" s="3">
        <v>85</v>
      </c>
      <c r="K14" s="3">
        <v>90</v>
      </c>
      <c r="L14" s="3">
        <f t="shared" si="0"/>
        <v>87.5</v>
      </c>
      <c r="M14" s="8" t="s">
        <v>38</v>
      </c>
      <c r="N14" s="8">
        <v>50</v>
      </c>
      <c r="O14" s="8">
        <v>60</v>
      </c>
      <c r="P14" s="8">
        <f>AVERAGE(N14:O14)</f>
        <v>55</v>
      </c>
      <c r="Q14" s="9" t="s">
        <v>11</v>
      </c>
      <c r="R14" s="3">
        <v>85</v>
      </c>
      <c r="S14" s="3">
        <v>90</v>
      </c>
      <c r="T14" s="7">
        <f>AVERAGE(R14:S14)</f>
        <v>87.5</v>
      </c>
      <c r="U14" s="33" t="s">
        <v>70</v>
      </c>
      <c r="V14" s="3"/>
      <c r="W14" s="3"/>
      <c r="X14" s="3">
        <v>100</v>
      </c>
      <c r="Y14" s="9" t="s">
        <v>11</v>
      </c>
      <c r="Z14" s="3"/>
      <c r="AA14" s="3"/>
      <c r="AB14" s="3">
        <v>90</v>
      </c>
      <c r="AC14" s="24" t="s">
        <v>74</v>
      </c>
      <c r="AD14" s="8"/>
      <c r="AE14" s="8"/>
      <c r="AF14" s="3">
        <v>100</v>
      </c>
      <c r="AG14" s="8" t="s">
        <v>38</v>
      </c>
      <c r="AH14" s="3">
        <v>80</v>
      </c>
      <c r="AI14" s="3">
        <v>85</v>
      </c>
      <c r="AJ14" s="3">
        <f>AVERAGE(AH14:AI14)</f>
        <v>82.5</v>
      </c>
      <c r="AK14" s="38" t="s">
        <v>75</v>
      </c>
      <c r="AL14" s="3"/>
      <c r="AM14" s="3"/>
      <c r="AN14" s="3">
        <v>100</v>
      </c>
      <c r="AO14" s="8" t="s">
        <v>11</v>
      </c>
      <c r="AR14" s="18" t="s">
        <v>6</v>
      </c>
      <c r="AS14" s="21">
        <f>AN15</f>
        <v>16</v>
      </c>
      <c r="AT14" s="21">
        <f t="shared" si="3"/>
        <v>93.888888888888886</v>
      </c>
    </row>
    <row r="15" spans="1:47" ht="18.75" x14ac:dyDescent="0.3">
      <c r="A15" s="19" t="s">
        <v>33</v>
      </c>
      <c r="B15" s="19"/>
      <c r="C15" s="19"/>
      <c r="D15" s="19">
        <f>AVERAGE(D5:D14)</f>
        <v>89.1</v>
      </c>
      <c r="E15" s="19"/>
      <c r="F15" s="19"/>
      <c r="G15" s="19"/>
      <c r="H15" s="19">
        <f t="shared" ref="H15:AN15" si="6">AVERAGE(H5:H14)</f>
        <v>90</v>
      </c>
      <c r="I15" s="19"/>
      <c r="J15" s="19"/>
      <c r="K15" s="19"/>
      <c r="L15" s="19">
        <f t="shared" si="6"/>
        <v>76.650000000000006</v>
      </c>
      <c r="M15" s="19"/>
      <c r="N15" s="19"/>
      <c r="O15" s="19"/>
      <c r="P15" s="19">
        <f>AVERAGE(P5:P14)</f>
        <v>50</v>
      </c>
      <c r="Q15" s="19"/>
      <c r="R15" s="19"/>
      <c r="S15" s="19"/>
      <c r="T15" s="19">
        <f t="shared" si="6"/>
        <v>94</v>
      </c>
      <c r="U15" s="19"/>
      <c r="V15" s="19"/>
      <c r="W15" s="19"/>
      <c r="X15" s="19">
        <f t="shared" si="6"/>
        <v>96.25</v>
      </c>
      <c r="Y15" s="19"/>
      <c r="Z15" s="19"/>
      <c r="AA15" s="19"/>
      <c r="AB15" s="35">
        <f t="shared" si="6"/>
        <v>79</v>
      </c>
      <c r="AC15" s="19"/>
      <c r="AD15" s="19"/>
      <c r="AE15" s="19"/>
      <c r="AF15" s="19">
        <f t="shared" si="6"/>
        <v>100</v>
      </c>
      <c r="AG15" s="19"/>
      <c r="AH15" s="19"/>
      <c r="AI15" s="19"/>
      <c r="AJ15" s="35">
        <f t="shared" si="6"/>
        <v>93.25</v>
      </c>
      <c r="AK15" s="19"/>
      <c r="AL15" s="19"/>
      <c r="AM15" s="19"/>
      <c r="AN15" s="19">
        <f t="shared" si="6"/>
        <v>16</v>
      </c>
      <c r="AO15" s="19"/>
    </row>
    <row r="16" spans="1:47" x14ac:dyDescent="0.25">
      <c r="AL16" s="2"/>
      <c r="AM16" s="2"/>
      <c r="AN16" s="2"/>
    </row>
    <row r="25" spans="44:45" x14ac:dyDescent="0.25">
      <c r="AR25" s="37" t="s">
        <v>7</v>
      </c>
      <c r="AS25" s="22" t="s">
        <v>34</v>
      </c>
    </row>
    <row r="26" spans="44:45" x14ac:dyDescent="0.25">
      <c r="AR26" t="s">
        <v>6</v>
      </c>
      <c r="AS26" s="39">
        <v>16</v>
      </c>
    </row>
    <row r="27" spans="44:45" x14ac:dyDescent="0.25">
      <c r="AR27" t="s">
        <v>117</v>
      </c>
      <c r="AS27" s="39">
        <v>50</v>
      </c>
    </row>
    <row r="28" spans="44:45" x14ac:dyDescent="0.25">
      <c r="AR28" t="s">
        <v>0</v>
      </c>
      <c r="AS28" s="22">
        <v>76.650000000000006</v>
      </c>
    </row>
    <row r="29" spans="44:45" x14ac:dyDescent="0.25">
      <c r="AR29" t="s">
        <v>3</v>
      </c>
      <c r="AS29" s="39">
        <v>79</v>
      </c>
    </row>
    <row r="30" spans="44:45" x14ac:dyDescent="0.25">
      <c r="AR30" t="s">
        <v>25</v>
      </c>
      <c r="AS30" s="22">
        <v>89.1</v>
      </c>
    </row>
    <row r="31" spans="44:45" x14ac:dyDescent="0.25">
      <c r="AR31" t="s">
        <v>30</v>
      </c>
      <c r="AS31" s="39">
        <v>90</v>
      </c>
    </row>
    <row r="32" spans="44:45" x14ac:dyDescent="0.25">
      <c r="AR32" t="s">
        <v>5</v>
      </c>
      <c r="AS32" s="22">
        <v>93.25</v>
      </c>
    </row>
    <row r="33" spans="44:45" x14ac:dyDescent="0.25">
      <c r="AR33" t="s">
        <v>1</v>
      </c>
      <c r="AS33" s="22">
        <v>94</v>
      </c>
    </row>
    <row r="34" spans="44:45" x14ac:dyDescent="0.25">
      <c r="AR34" t="s">
        <v>2</v>
      </c>
      <c r="AS34" s="22">
        <v>96.25</v>
      </c>
    </row>
    <row r="35" spans="44:45" x14ac:dyDescent="0.25">
      <c r="AR35" t="s">
        <v>4</v>
      </c>
      <c r="AS35" s="39">
        <v>100</v>
      </c>
    </row>
    <row r="36" spans="44:45" x14ac:dyDescent="0.25">
      <c r="AR36" s="37"/>
    </row>
    <row r="37" spans="44:45" x14ac:dyDescent="0.25">
      <c r="AR37" s="37"/>
    </row>
    <row r="38" spans="44:45" x14ac:dyDescent="0.25">
      <c r="AR38" s="37"/>
    </row>
    <row r="39" spans="44:45" x14ac:dyDescent="0.25">
      <c r="AR39" s="37" t="s">
        <v>7</v>
      </c>
      <c r="AS39" s="22" t="s">
        <v>35</v>
      </c>
    </row>
    <row r="40" spans="44:45" x14ac:dyDescent="0.25">
      <c r="AR40" t="s">
        <v>30</v>
      </c>
      <c r="AS40" s="22">
        <v>61.944444444444443</v>
      </c>
    </row>
    <row r="41" spans="44:45" x14ac:dyDescent="0.25">
      <c r="AR41" t="s">
        <v>1</v>
      </c>
      <c r="AS41" s="22">
        <v>76.944444444444443</v>
      </c>
    </row>
    <row r="42" spans="44:45" x14ac:dyDescent="0.25">
      <c r="AR42" t="s">
        <v>5</v>
      </c>
      <c r="AS42" s="22">
        <v>80.555555555555557</v>
      </c>
    </row>
    <row r="43" spans="44:45" x14ac:dyDescent="0.25">
      <c r="AR43" t="s">
        <v>4</v>
      </c>
      <c r="AS43" s="22">
        <v>82.166666666666671</v>
      </c>
    </row>
    <row r="44" spans="44:45" x14ac:dyDescent="0.25">
      <c r="AR44" t="s">
        <v>3</v>
      </c>
      <c r="AS44" s="22">
        <v>82.222222222222229</v>
      </c>
    </row>
    <row r="45" spans="44:45" x14ac:dyDescent="0.25">
      <c r="AR45" t="s">
        <v>0</v>
      </c>
      <c r="AS45" s="22">
        <v>83.333333333333329</v>
      </c>
    </row>
    <row r="46" spans="44:45" x14ac:dyDescent="0.25">
      <c r="AR46" t="s">
        <v>117</v>
      </c>
      <c r="AS46" s="22">
        <v>84.166666666666671</v>
      </c>
    </row>
    <row r="47" spans="44:45" x14ac:dyDescent="0.25">
      <c r="AR47" t="s">
        <v>25</v>
      </c>
      <c r="AS47" s="22">
        <v>84.722222222222229</v>
      </c>
    </row>
    <row r="48" spans="44:45" x14ac:dyDescent="0.25">
      <c r="AR48" t="s">
        <v>2</v>
      </c>
      <c r="AS48" s="22">
        <v>85.888888888888886</v>
      </c>
    </row>
    <row r="49" spans="44:45" x14ac:dyDescent="0.25">
      <c r="AR49" t="s">
        <v>6</v>
      </c>
      <c r="AS49" s="22">
        <v>93.888888888888886</v>
      </c>
    </row>
    <row r="58" spans="44:45" x14ac:dyDescent="0.25">
      <c r="AS58"/>
    </row>
    <row r="59" spans="44:45" x14ac:dyDescent="0.25">
      <c r="AS59"/>
    </row>
    <row r="60" spans="44:45" x14ac:dyDescent="0.25">
      <c r="AS60"/>
    </row>
    <row r="61" spans="44:45" x14ac:dyDescent="0.25">
      <c r="AS61"/>
    </row>
    <row r="62" spans="44:45" x14ac:dyDescent="0.25">
      <c r="AS62"/>
    </row>
    <row r="63" spans="44:45" x14ac:dyDescent="0.25">
      <c r="AS63"/>
    </row>
    <row r="64" spans="44:45" x14ac:dyDescent="0.25">
      <c r="AS64"/>
    </row>
    <row r="65" spans="45:45" x14ac:dyDescent="0.25">
      <c r="AS65"/>
    </row>
    <row r="66" spans="45:45" x14ac:dyDescent="0.25">
      <c r="AS66"/>
    </row>
    <row r="67" spans="45:45" x14ac:dyDescent="0.25">
      <c r="AS67"/>
    </row>
  </sheetData>
  <mergeCells count="11">
    <mergeCell ref="AL3:AO3"/>
    <mergeCell ref="B2:AO2"/>
    <mergeCell ref="B3:E3"/>
    <mergeCell ref="F3:I3"/>
    <mergeCell ref="J3:M3"/>
    <mergeCell ref="N3:Q3"/>
    <mergeCell ref="R3:U3"/>
    <mergeCell ref="V3:Y3"/>
    <mergeCell ref="Z3:AC3"/>
    <mergeCell ref="AD3:AG3"/>
    <mergeCell ref="AH3:AK3"/>
  </mergeCells>
  <phoneticPr fontId="11" type="noConversion"/>
  <pageMargins left="0.7" right="0.7" top="0.75" bottom="0.75" header="0.3" footer="0.3"/>
  <pageSetup paperSize="8" scale="5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C188B-541B-4FAD-9111-B0DFAAAB2594}">
  <sheetPr>
    <pageSetUpPr fitToPage="1"/>
  </sheetPr>
  <dimension ref="A2:AU67"/>
  <sheetViews>
    <sheetView topLeftCell="F1" zoomScale="70" zoomScaleNormal="70" workbookViewId="0">
      <selection activeCell="AK5" sqref="AK5:AK14"/>
    </sheetView>
  </sheetViews>
  <sheetFormatPr defaultRowHeight="15" x14ac:dyDescent="0.25"/>
  <cols>
    <col min="1" max="1" width="26.7109375" bestFit="1" customWidth="1"/>
    <col min="2" max="3" width="8.5703125" bestFit="1" customWidth="1"/>
    <col min="4" max="4" width="9.42578125" customWidth="1"/>
    <col min="5" max="5" width="17.42578125" bestFit="1" customWidth="1"/>
    <col min="7" max="7" width="9.5703125" customWidth="1"/>
    <col min="8" max="8" width="10" style="30" customWidth="1"/>
    <col min="9" max="9" width="15.42578125" bestFit="1" customWidth="1"/>
    <col min="10" max="10" width="10.140625" customWidth="1"/>
    <col min="11" max="11" width="12.85546875" customWidth="1"/>
    <col min="12" max="12" width="11.140625" customWidth="1"/>
    <col min="13" max="13" width="15.42578125" bestFit="1" customWidth="1"/>
    <col min="14" max="14" width="10.85546875" customWidth="1"/>
    <col min="15" max="15" width="10.5703125" customWidth="1"/>
    <col min="16" max="16" width="10.42578125" customWidth="1"/>
    <col min="17" max="17" width="25.7109375" bestFit="1" customWidth="1"/>
    <col min="18" max="18" width="8.5703125" customWidth="1"/>
    <col min="19" max="19" width="9.7109375" customWidth="1"/>
    <col min="20" max="20" width="10.5703125" customWidth="1"/>
    <col min="21" max="21" width="45" bestFit="1" customWidth="1"/>
    <col min="23" max="23" width="9.28515625" customWidth="1"/>
    <col min="24" max="24" width="9.85546875" customWidth="1"/>
    <col min="25" max="25" width="19" customWidth="1"/>
    <col min="26" max="26" width="10.5703125" customWidth="1"/>
    <col min="27" max="27" width="11.85546875" customWidth="1"/>
    <col min="28" max="28" width="11" customWidth="1"/>
    <col min="29" max="29" width="21.140625" bestFit="1" customWidth="1"/>
    <col min="30" max="30" width="9" bestFit="1" customWidth="1"/>
    <col min="31" max="32" width="9" customWidth="1"/>
    <col min="33" max="33" width="17.42578125" bestFit="1" customWidth="1"/>
    <col min="34" max="34" width="10.140625" style="1" customWidth="1"/>
    <col min="35" max="35" width="9.7109375" style="1" customWidth="1"/>
    <col min="36" max="36" width="10.7109375" style="1" customWidth="1"/>
    <col min="37" max="37" width="16" bestFit="1" customWidth="1"/>
    <col min="38" max="38" width="10" style="1" customWidth="1"/>
    <col min="39" max="39" width="10.42578125" style="1" customWidth="1"/>
    <col min="40" max="40" width="9.28515625" style="1" customWidth="1"/>
    <col min="41" max="41" width="20.7109375" customWidth="1"/>
    <col min="44" max="44" width="32.85546875"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31.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10" customFormat="1" ht="18.75" x14ac:dyDescent="0.3">
      <c r="A5" s="16" t="s">
        <v>25</v>
      </c>
      <c r="B5" s="7">
        <v>95</v>
      </c>
      <c r="C5" s="7">
        <v>100</v>
      </c>
      <c r="D5" s="7">
        <f>AVERAGE(B5:C5)</f>
        <v>97.5</v>
      </c>
      <c r="E5" s="24" t="s">
        <v>11</v>
      </c>
      <c r="F5" s="3"/>
      <c r="G5" s="3"/>
      <c r="H5" s="27">
        <v>100</v>
      </c>
      <c r="I5" s="24" t="s">
        <v>57</v>
      </c>
      <c r="J5" s="7">
        <v>85</v>
      </c>
      <c r="K5" s="7">
        <v>90</v>
      </c>
      <c r="L5" s="7">
        <f t="shared" ref="L5:L14" si="0">AVERAGE(J5:K5)</f>
        <v>87.5</v>
      </c>
      <c r="M5" s="24" t="s">
        <v>38</v>
      </c>
      <c r="N5" s="9"/>
      <c r="O5" s="9"/>
      <c r="P5" s="9"/>
      <c r="Q5" s="9" t="s">
        <v>77</v>
      </c>
      <c r="R5" s="7"/>
      <c r="S5" s="7"/>
      <c r="T5" s="7">
        <v>85</v>
      </c>
      <c r="U5" s="33" t="s">
        <v>50</v>
      </c>
      <c r="V5" s="7"/>
      <c r="W5" s="7"/>
      <c r="X5" s="7">
        <v>100</v>
      </c>
      <c r="Y5" s="9" t="s">
        <v>78</v>
      </c>
      <c r="Z5" s="7"/>
      <c r="AA5" s="7"/>
      <c r="AB5" s="7">
        <v>80</v>
      </c>
      <c r="AC5" s="24" t="s">
        <v>79</v>
      </c>
      <c r="AD5" s="9"/>
      <c r="AE5" s="9"/>
      <c r="AF5" s="7">
        <v>100</v>
      </c>
      <c r="AG5" s="8" t="s">
        <v>65</v>
      </c>
      <c r="AH5" s="7"/>
      <c r="AI5" s="7"/>
      <c r="AJ5" s="7">
        <v>100</v>
      </c>
      <c r="AK5" s="38" t="s">
        <v>8</v>
      </c>
      <c r="AL5" s="7"/>
      <c r="AM5" s="7"/>
      <c r="AN5" s="7">
        <v>0</v>
      </c>
      <c r="AO5" s="8" t="s">
        <v>10</v>
      </c>
      <c r="AR5" s="18" t="s">
        <v>25</v>
      </c>
      <c r="AS5" s="21">
        <f>D15</f>
        <v>93</v>
      </c>
      <c r="AT5" s="21">
        <f>AVERAGE(D5,H5,L5,T5,X5,AB5,AF5,AJ5,AN5)</f>
        <v>83.333333333333329</v>
      </c>
    </row>
    <row r="6" spans="1:47" s="10" customFormat="1" ht="20.25" customHeight="1" x14ac:dyDescent="0.3">
      <c r="A6" s="17" t="s">
        <v>30</v>
      </c>
      <c r="B6" s="3">
        <v>80</v>
      </c>
      <c r="C6" s="3">
        <v>90</v>
      </c>
      <c r="D6" s="7">
        <f t="shared" ref="D6:D14" si="1">AVERAGE(B6:C6)</f>
        <v>85</v>
      </c>
      <c r="E6" s="24" t="s">
        <v>50</v>
      </c>
      <c r="F6" s="12"/>
      <c r="G6" s="12"/>
      <c r="H6" s="28">
        <v>100</v>
      </c>
      <c r="I6" s="24" t="s">
        <v>80</v>
      </c>
      <c r="J6" s="3">
        <v>20</v>
      </c>
      <c r="K6" s="3">
        <v>30</v>
      </c>
      <c r="L6" s="7">
        <f t="shared" si="0"/>
        <v>25</v>
      </c>
      <c r="M6" s="8" t="s">
        <v>81</v>
      </c>
      <c r="N6" s="8"/>
      <c r="O6" s="8"/>
      <c r="P6" s="8"/>
      <c r="Q6" s="9" t="s">
        <v>60</v>
      </c>
      <c r="R6" s="7">
        <v>90</v>
      </c>
      <c r="S6" s="7">
        <v>95</v>
      </c>
      <c r="T6" s="7">
        <f t="shared" ref="T6:T12" si="2">AVERAGE(R6:S6)</f>
        <v>92.5</v>
      </c>
      <c r="U6" s="33" t="s">
        <v>82</v>
      </c>
      <c r="V6" s="3"/>
      <c r="W6" s="3"/>
      <c r="X6" s="3">
        <v>100</v>
      </c>
      <c r="Y6" s="9" t="s">
        <v>11</v>
      </c>
      <c r="Z6" s="3"/>
      <c r="AA6" s="3"/>
      <c r="AB6" s="3">
        <v>90</v>
      </c>
      <c r="AC6" s="24" t="s">
        <v>79</v>
      </c>
      <c r="AD6" s="8"/>
      <c r="AE6" s="8"/>
      <c r="AF6" s="3">
        <v>70</v>
      </c>
      <c r="AG6" s="8" t="s">
        <v>11</v>
      </c>
      <c r="AH6" s="7"/>
      <c r="AI6" s="3"/>
      <c r="AJ6" s="3">
        <v>100</v>
      </c>
      <c r="AK6" s="38" t="s">
        <v>8</v>
      </c>
      <c r="AL6" s="3"/>
      <c r="AM6" s="3"/>
      <c r="AN6" s="3">
        <v>100</v>
      </c>
      <c r="AO6" s="8" t="s">
        <v>11</v>
      </c>
      <c r="AR6" s="18" t="s">
        <v>30</v>
      </c>
      <c r="AS6" s="21">
        <f>H15</f>
        <v>98.25</v>
      </c>
      <c r="AT6" s="21">
        <f t="shared" ref="AT6:AT14" si="3">AVERAGE(D6,H6,L6,T6,X6,AB6,AF6,AJ6,AN6)</f>
        <v>84.722222222222229</v>
      </c>
    </row>
    <row r="7" spans="1:47" s="10" customFormat="1" ht="18.75" x14ac:dyDescent="0.3">
      <c r="A7" s="17" t="s">
        <v>0</v>
      </c>
      <c r="B7" s="3">
        <v>90</v>
      </c>
      <c r="C7" s="3">
        <v>100</v>
      </c>
      <c r="D7" s="7">
        <f t="shared" si="1"/>
        <v>95</v>
      </c>
      <c r="E7" s="24" t="s">
        <v>50</v>
      </c>
      <c r="F7" s="12"/>
      <c r="G7" s="12"/>
      <c r="H7" s="28">
        <v>100</v>
      </c>
      <c r="I7" s="24" t="s">
        <v>57</v>
      </c>
      <c r="J7" s="3">
        <v>90</v>
      </c>
      <c r="K7" s="3">
        <v>95</v>
      </c>
      <c r="L7" s="7">
        <f t="shared" si="0"/>
        <v>92.5</v>
      </c>
      <c r="M7" s="8" t="s">
        <v>11</v>
      </c>
      <c r="N7" s="8">
        <v>90</v>
      </c>
      <c r="O7" s="8">
        <v>95</v>
      </c>
      <c r="P7" s="8">
        <f>AVERAGE(N7:O7)</f>
        <v>92.5</v>
      </c>
      <c r="Q7" s="9" t="s">
        <v>84</v>
      </c>
      <c r="R7" s="7">
        <v>85</v>
      </c>
      <c r="S7" s="7">
        <v>90</v>
      </c>
      <c r="T7" s="7">
        <f t="shared" si="2"/>
        <v>87.5</v>
      </c>
      <c r="U7" s="33" t="s">
        <v>83</v>
      </c>
      <c r="V7" s="3"/>
      <c r="W7" s="3"/>
      <c r="X7" s="36">
        <v>95</v>
      </c>
      <c r="Y7" s="9" t="s">
        <v>50</v>
      </c>
      <c r="Z7" s="3"/>
      <c r="AA7" s="3"/>
      <c r="AB7" s="3">
        <v>85</v>
      </c>
      <c r="AC7" s="24" t="s">
        <v>79</v>
      </c>
      <c r="AD7" s="8"/>
      <c r="AE7" s="8"/>
      <c r="AF7" s="3">
        <v>90</v>
      </c>
      <c r="AG7" s="8" t="s">
        <v>11</v>
      </c>
      <c r="AH7" s="7"/>
      <c r="AI7" s="3"/>
      <c r="AJ7" s="3">
        <v>100</v>
      </c>
      <c r="AK7" s="38" t="s">
        <v>8</v>
      </c>
      <c r="AL7" s="3"/>
      <c r="AM7" s="3"/>
      <c r="AN7" s="3">
        <v>100</v>
      </c>
      <c r="AO7" s="8" t="s">
        <v>11</v>
      </c>
      <c r="AR7" s="18" t="s">
        <v>0</v>
      </c>
      <c r="AS7" s="21">
        <f>L15</f>
        <v>78.650000000000006</v>
      </c>
      <c r="AT7" s="21">
        <f t="shared" si="3"/>
        <v>93.888888888888886</v>
      </c>
    </row>
    <row r="8" spans="1:47" s="10" customFormat="1" ht="18.75" x14ac:dyDescent="0.3">
      <c r="A8" s="17" t="s">
        <v>117</v>
      </c>
      <c r="B8" s="3">
        <v>90</v>
      </c>
      <c r="C8" s="3">
        <v>95</v>
      </c>
      <c r="D8" s="7">
        <f t="shared" si="1"/>
        <v>92.5</v>
      </c>
      <c r="E8" s="24" t="s">
        <v>50</v>
      </c>
      <c r="F8" s="12"/>
      <c r="G8" s="12"/>
      <c r="H8" s="28">
        <v>100</v>
      </c>
      <c r="I8" s="24" t="s">
        <v>57</v>
      </c>
      <c r="J8" s="3">
        <v>95</v>
      </c>
      <c r="K8" s="3">
        <v>98</v>
      </c>
      <c r="L8" s="7">
        <f t="shared" si="0"/>
        <v>96.5</v>
      </c>
      <c r="M8" s="24" t="s">
        <v>38</v>
      </c>
      <c r="N8" s="8">
        <v>95</v>
      </c>
      <c r="O8" s="8">
        <v>100</v>
      </c>
      <c r="P8" s="8">
        <f t="shared" ref="P8:P14" si="4">AVERAGE(N8:O8)</f>
        <v>97.5</v>
      </c>
      <c r="Q8" s="9" t="s">
        <v>84</v>
      </c>
      <c r="R8" s="7">
        <v>85</v>
      </c>
      <c r="S8" s="7">
        <v>90</v>
      </c>
      <c r="T8" s="7">
        <f t="shared" si="2"/>
        <v>87.5</v>
      </c>
      <c r="U8" s="33" t="s">
        <v>83</v>
      </c>
      <c r="V8" s="3">
        <v>95</v>
      </c>
      <c r="W8" s="3">
        <v>100</v>
      </c>
      <c r="X8" s="36">
        <f>AVERAGE(V8:W8)</f>
        <v>97.5</v>
      </c>
      <c r="Y8" s="9" t="s">
        <v>50</v>
      </c>
      <c r="Z8" s="3"/>
      <c r="AA8" s="3"/>
      <c r="AB8" s="3">
        <v>80</v>
      </c>
      <c r="AC8" s="24" t="s">
        <v>85</v>
      </c>
      <c r="AD8" s="8"/>
      <c r="AE8" s="8"/>
      <c r="AF8" s="3">
        <v>80</v>
      </c>
      <c r="AG8" s="8" t="s">
        <v>65</v>
      </c>
      <c r="AH8" s="3">
        <v>90</v>
      </c>
      <c r="AI8" s="3">
        <v>95</v>
      </c>
      <c r="AJ8" s="3">
        <f>AVERAGE(AH8:AI8)</f>
        <v>92.5</v>
      </c>
      <c r="AK8" s="38" t="s">
        <v>8</v>
      </c>
      <c r="AL8" s="3"/>
      <c r="AM8" s="3"/>
      <c r="AN8" s="3">
        <v>100</v>
      </c>
      <c r="AO8" s="8" t="s">
        <v>11</v>
      </c>
      <c r="AR8" s="18" t="s">
        <v>117</v>
      </c>
      <c r="AS8" s="21">
        <f>P15</f>
        <v>94.875</v>
      </c>
      <c r="AT8" s="21">
        <f t="shared" si="3"/>
        <v>91.833333333333329</v>
      </c>
    </row>
    <row r="9" spans="1:47" s="10" customFormat="1" ht="18.75" x14ac:dyDescent="0.3">
      <c r="A9" s="17" t="s">
        <v>1</v>
      </c>
      <c r="B9" s="3">
        <v>90</v>
      </c>
      <c r="C9" s="3">
        <v>95</v>
      </c>
      <c r="D9" s="7">
        <f t="shared" si="1"/>
        <v>92.5</v>
      </c>
      <c r="E9" s="24" t="s">
        <v>11</v>
      </c>
      <c r="F9" s="12"/>
      <c r="G9" s="12"/>
      <c r="H9" s="28">
        <v>100</v>
      </c>
      <c r="I9" s="24" t="s">
        <v>57</v>
      </c>
      <c r="J9" s="3">
        <v>85</v>
      </c>
      <c r="K9" s="3">
        <v>90</v>
      </c>
      <c r="L9" s="7">
        <f t="shared" si="0"/>
        <v>87.5</v>
      </c>
      <c r="M9" s="8" t="s">
        <v>11</v>
      </c>
      <c r="N9" s="8">
        <v>95</v>
      </c>
      <c r="O9" s="8">
        <v>100</v>
      </c>
      <c r="P9" s="8">
        <f t="shared" si="4"/>
        <v>97.5</v>
      </c>
      <c r="Q9" s="9" t="s">
        <v>84</v>
      </c>
      <c r="R9" s="7">
        <v>85</v>
      </c>
      <c r="S9" s="7">
        <v>90</v>
      </c>
      <c r="T9" s="7">
        <f t="shared" si="2"/>
        <v>87.5</v>
      </c>
      <c r="U9" s="33" t="s">
        <v>83</v>
      </c>
      <c r="V9" s="3">
        <v>85</v>
      </c>
      <c r="W9" s="3">
        <v>95</v>
      </c>
      <c r="X9" s="3">
        <f>AVERAGE(V9:W9)</f>
        <v>90</v>
      </c>
      <c r="Y9" s="9" t="s">
        <v>50</v>
      </c>
      <c r="Z9" s="7"/>
      <c r="AA9" s="7"/>
      <c r="AB9" s="7">
        <v>90</v>
      </c>
      <c r="AC9" s="24" t="s">
        <v>86</v>
      </c>
      <c r="AD9" s="8"/>
      <c r="AE9" s="8"/>
      <c r="AF9" s="3">
        <v>85</v>
      </c>
      <c r="AG9" s="8" t="s">
        <v>11</v>
      </c>
      <c r="AH9" s="3">
        <v>95</v>
      </c>
      <c r="AI9" s="3">
        <v>100</v>
      </c>
      <c r="AJ9" s="3">
        <f>AVERAGE(AH9:AI9)</f>
        <v>97.5</v>
      </c>
      <c r="AK9" s="25" t="s">
        <v>11</v>
      </c>
      <c r="AL9" s="3"/>
      <c r="AM9" s="3"/>
      <c r="AN9" s="3">
        <v>100</v>
      </c>
      <c r="AO9" s="8" t="s">
        <v>11</v>
      </c>
      <c r="AR9" s="18" t="s">
        <v>1</v>
      </c>
      <c r="AS9" s="21">
        <f>T15</f>
        <v>87.75</v>
      </c>
      <c r="AT9" s="21">
        <f t="shared" si="3"/>
        <v>92.222222222222229</v>
      </c>
    </row>
    <row r="10" spans="1:47" s="10" customFormat="1" ht="18.75" x14ac:dyDescent="0.3">
      <c r="A10" s="17" t="s">
        <v>2</v>
      </c>
      <c r="B10" s="3">
        <v>95</v>
      </c>
      <c r="C10" s="3">
        <v>100</v>
      </c>
      <c r="D10" s="7">
        <f t="shared" si="1"/>
        <v>97.5</v>
      </c>
      <c r="E10" s="24" t="s">
        <v>50</v>
      </c>
      <c r="F10" s="12">
        <v>95</v>
      </c>
      <c r="G10" s="12">
        <v>100</v>
      </c>
      <c r="H10" s="29">
        <f>AVERAGE(F10:G10)</f>
        <v>97.5</v>
      </c>
      <c r="I10" s="24" t="s">
        <v>57</v>
      </c>
      <c r="J10" s="3">
        <v>95</v>
      </c>
      <c r="K10" s="3">
        <v>98</v>
      </c>
      <c r="L10" s="7">
        <f t="shared" si="0"/>
        <v>96.5</v>
      </c>
      <c r="M10" s="24" t="s">
        <v>38</v>
      </c>
      <c r="N10" s="8">
        <v>95</v>
      </c>
      <c r="O10" s="8">
        <v>100</v>
      </c>
      <c r="P10" s="8">
        <f t="shared" si="4"/>
        <v>97.5</v>
      </c>
      <c r="Q10" s="9" t="s">
        <v>84</v>
      </c>
      <c r="R10" s="7">
        <v>85</v>
      </c>
      <c r="S10" s="7">
        <v>90</v>
      </c>
      <c r="T10" s="7">
        <f t="shared" si="2"/>
        <v>87.5</v>
      </c>
      <c r="U10" s="33" t="s">
        <v>83</v>
      </c>
      <c r="V10" s="3">
        <v>90</v>
      </c>
      <c r="W10" s="3">
        <v>95</v>
      </c>
      <c r="X10" s="3">
        <f>AVERAGE(V10:W10)</f>
        <v>92.5</v>
      </c>
      <c r="Y10" s="9" t="s">
        <v>50</v>
      </c>
      <c r="Z10" s="3"/>
      <c r="AA10" s="3"/>
      <c r="AB10" s="3">
        <v>95</v>
      </c>
      <c r="AC10" s="24" t="s">
        <v>86</v>
      </c>
      <c r="AD10" s="8"/>
      <c r="AE10" s="8"/>
      <c r="AF10" s="3">
        <v>90</v>
      </c>
      <c r="AG10" s="8" t="s">
        <v>11</v>
      </c>
      <c r="AH10" s="3">
        <v>95</v>
      </c>
      <c r="AI10" s="3">
        <v>100</v>
      </c>
      <c r="AJ10" s="3">
        <f t="shared" ref="AJ10:AJ14" si="5">AVERAGE(AH10:AI10)</f>
        <v>97.5</v>
      </c>
      <c r="AK10" s="25" t="s">
        <v>11</v>
      </c>
      <c r="AL10" s="3"/>
      <c r="AM10" s="3"/>
      <c r="AN10" s="3">
        <v>100</v>
      </c>
      <c r="AO10" s="8" t="s">
        <v>11</v>
      </c>
      <c r="AR10" s="18" t="s">
        <v>2</v>
      </c>
      <c r="AS10" s="21">
        <f>X15</f>
        <v>96.7</v>
      </c>
      <c r="AT10" s="21">
        <f t="shared" si="3"/>
        <v>94.888888888888886</v>
      </c>
    </row>
    <row r="11" spans="1:47" s="10" customFormat="1" ht="18.75" customHeight="1" x14ac:dyDescent="0.3">
      <c r="A11" s="17" t="s">
        <v>3</v>
      </c>
      <c r="B11" s="3">
        <v>90</v>
      </c>
      <c r="C11" s="3">
        <v>95</v>
      </c>
      <c r="D11" s="7">
        <f t="shared" si="1"/>
        <v>92.5</v>
      </c>
      <c r="E11" s="24" t="s">
        <v>50</v>
      </c>
      <c r="F11" s="12">
        <v>95</v>
      </c>
      <c r="G11" s="12">
        <v>100</v>
      </c>
      <c r="H11" s="29">
        <f t="shared" ref="H11:H14" si="6">AVERAGE(F11:G11)</f>
        <v>97.5</v>
      </c>
      <c r="I11" s="24" t="s">
        <v>57</v>
      </c>
      <c r="J11" s="3">
        <v>92</v>
      </c>
      <c r="K11" s="3">
        <v>95</v>
      </c>
      <c r="L11" s="7">
        <f t="shared" si="0"/>
        <v>93.5</v>
      </c>
      <c r="M11" s="24" t="s">
        <v>38</v>
      </c>
      <c r="N11" s="8">
        <v>95</v>
      </c>
      <c r="O11" s="8">
        <v>100</v>
      </c>
      <c r="P11" s="8">
        <f t="shared" si="4"/>
        <v>97.5</v>
      </c>
      <c r="Q11" s="9" t="s">
        <v>84</v>
      </c>
      <c r="R11" s="7">
        <v>85</v>
      </c>
      <c r="S11" s="7">
        <v>90</v>
      </c>
      <c r="T11" s="7">
        <f t="shared" si="2"/>
        <v>87.5</v>
      </c>
      <c r="U11" s="33" t="s">
        <v>83</v>
      </c>
      <c r="V11" s="3">
        <v>97</v>
      </c>
      <c r="W11" s="3">
        <v>100</v>
      </c>
      <c r="X11" s="3">
        <f t="shared" ref="X11:X14" si="7">AVERAGE(V11:W11)</f>
        <v>98.5</v>
      </c>
      <c r="Y11" s="9" t="s">
        <v>11</v>
      </c>
      <c r="Z11" s="3"/>
      <c r="AA11" s="3"/>
      <c r="AB11" s="3">
        <v>92</v>
      </c>
      <c r="AC11" s="24" t="s">
        <v>86</v>
      </c>
      <c r="AD11" s="8"/>
      <c r="AE11" s="8"/>
      <c r="AF11" s="3">
        <v>95</v>
      </c>
      <c r="AG11" s="8" t="s">
        <v>11</v>
      </c>
      <c r="AH11" s="3">
        <v>90</v>
      </c>
      <c r="AI11" s="3">
        <v>95</v>
      </c>
      <c r="AJ11" s="3">
        <f t="shared" si="5"/>
        <v>92.5</v>
      </c>
      <c r="AK11" s="38" t="s">
        <v>8</v>
      </c>
      <c r="AL11" s="3"/>
      <c r="AM11" s="3"/>
      <c r="AN11" s="3">
        <v>100</v>
      </c>
      <c r="AO11" s="8" t="s">
        <v>11</v>
      </c>
      <c r="AR11" s="18" t="s">
        <v>3</v>
      </c>
      <c r="AS11" s="32">
        <f>AB15</f>
        <v>88.2</v>
      </c>
      <c r="AT11" s="21">
        <f t="shared" si="3"/>
        <v>94.333333333333329</v>
      </c>
      <c r="AU11" s="4"/>
    </row>
    <row r="12" spans="1:47" s="10" customFormat="1" ht="20.25" customHeight="1" x14ac:dyDescent="0.3">
      <c r="A12" s="17" t="s">
        <v>4</v>
      </c>
      <c r="B12" s="3">
        <v>85</v>
      </c>
      <c r="C12" s="3">
        <v>90</v>
      </c>
      <c r="D12" s="7">
        <f t="shared" si="1"/>
        <v>87.5</v>
      </c>
      <c r="E12" s="24" t="s">
        <v>50</v>
      </c>
      <c r="F12" s="12">
        <v>90</v>
      </c>
      <c r="G12" s="12">
        <v>95</v>
      </c>
      <c r="H12" s="29">
        <f t="shared" si="6"/>
        <v>92.5</v>
      </c>
      <c r="I12" s="24" t="s">
        <v>57</v>
      </c>
      <c r="J12" s="3">
        <v>88</v>
      </c>
      <c r="K12" s="3">
        <v>92</v>
      </c>
      <c r="L12" s="7">
        <f t="shared" si="0"/>
        <v>90</v>
      </c>
      <c r="M12" s="8" t="s">
        <v>11</v>
      </c>
      <c r="N12" s="8">
        <v>90</v>
      </c>
      <c r="O12" s="8">
        <v>95</v>
      </c>
      <c r="P12" s="8">
        <f t="shared" si="4"/>
        <v>92.5</v>
      </c>
      <c r="Q12" s="9" t="s">
        <v>84</v>
      </c>
      <c r="R12" s="7">
        <v>85</v>
      </c>
      <c r="S12" s="7">
        <v>90</v>
      </c>
      <c r="T12" s="7">
        <f t="shared" si="2"/>
        <v>87.5</v>
      </c>
      <c r="U12" s="33" t="s">
        <v>83</v>
      </c>
      <c r="V12" s="3">
        <v>95</v>
      </c>
      <c r="W12" s="3">
        <v>99</v>
      </c>
      <c r="X12" s="3">
        <f t="shared" si="7"/>
        <v>97</v>
      </c>
      <c r="Y12" s="9" t="s">
        <v>50</v>
      </c>
      <c r="Z12" s="3"/>
      <c r="AA12" s="3"/>
      <c r="AB12" s="3">
        <v>95</v>
      </c>
      <c r="AC12" s="24" t="s">
        <v>87</v>
      </c>
      <c r="AD12" s="8"/>
      <c r="AE12" s="8"/>
      <c r="AF12" s="3">
        <v>90</v>
      </c>
      <c r="AG12" s="8" t="s">
        <v>11</v>
      </c>
      <c r="AH12" s="3">
        <v>60</v>
      </c>
      <c r="AI12" s="3">
        <v>70</v>
      </c>
      <c r="AJ12" s="3">
        <f t="shared" si="5"/>
        <v>65</v>
      </c>
      <c r="AK12" s="25" t="s">
        <v>11</v>
      </c>
      <c r="AL12" s="3"/>
      <c r="AM12" s="3"/>
      <c r="AN12" s="3">
        <v>100</v>
      </c>
      <c r="AO12" s="8" t="s">
        <v>11</v>
      </c>
      <c r="AR12" s="18" t="s">
        <v>4</v>
      </c>
      <c r="AS12" s="21">
        <f>AF15</f>
        <v>86.5</v>
      </c>
      <c r="AT12" s="21">
        <f t="shared" si="3"/>
        <v>89.388888888888886</v>
      </c>
    </row>
    <row r="13" spans="1:47" s="10" customFormat="1" ht="21" customHeight="1" x14ac:dyDescent="0.3">
      <c r="A13" s="17" t="s">
        <v>5</v>
      </c>
      <c r="B13" s="3">
        <v>95</v>
      </c>
      <c r="C13" s="3">
        <v>100</v>
      </c>
      <c r="D13" s="7">
        <f t="shared" si="1"/>
        <v>97.5</v>
      </c>
      <c r="E13" s="24" t="s">
        <v>50</v>
      </c>
      <c r="F13" s="12">
        <v>95</v>
      </c>
      <c r="G13" s="12">
        <v>100</v>
      </c>
      <c r="H13" s="29">
        <f t="shared" si="6"/>
        <v>97.5</v>
      </c>
      <c r="I13" s="24" t="s">
        <v>57</v>
      </c>
      <c r="J13" s="3">
        <v>20</v>
      </c>
      <c r="K13" s="3">
        <v>25</v>
      </c>
      <c r="L13" s="7">
        <f t="shared" si="0"/>
        <v>22.5</v>
      </c>
      <c r="M13" s="8" t="s">
        <v>10</v>
      </c>
      <c r="N13" s="11">
        <v>85</v>
      </c>
      <c r="O13" s="11">
        <v>95</v>
      </c>
      <c r="P13" s="8">
        <f>AVERAGE(N13:O13)</f>
        <v>90</v>
      </c>
      <c r="Q13" s="9" t="s">
        <v>84</v>
      </c>
      <c r="R13" s="7">
        <v>85</v>
      </c>
      <c r="S13" s="7">
        <v>90</v>
      </c>
      <c r="T13" s="7">
        <f>AVERAGE(R13:S13)</f>
        <v>87.5</v>
      </c>
      <c r="U13" s="33" t="s">
        <v>83</v>
      </c>
      <c r="V13" s="3">
        <v>98</v>
      </c>
      <c r="W13" s="3">
        <v>100</v>
      </c>
      <c r="X13" s="3">
        <f t="shared" si="7"/>
        <v>99</v>
      </c>
      <c r="Y13" s="9" t="s">
        <v>11</v>
      </c>
      <c r="Z13" s="3"/>
      <c r="AA13" s="3"/>
      <c r="AB13" s="3">
        <v>90</v>
      </c>
      <c r="AC13" s="24" t="s">
        <v>86</v>
      </c>
      <c r="AD13" s="8"/>
      <c r="AE13" s="8"/>
      <c r="AF13" s="3">
        <v>80</v>
      </c>
      <c r="AG13" s="8" t="s">
        <v>11</v>
      </c>
      <c r="AH13" s="3">
        <v>95</v>
      </c>
      <c r="AI13" s="3">
        <v>100</v>
      </c>
      <c r="AJ13" s="3">
        <f t="shared" si="5"/>
        <v>97.5</v>
      </c>
      <c r="AK13" s="25" t="s">
        <v>11</v>
      </c>
      <c r="AL13" s="3"/>
      <c r="AM13" s="3"/>
      <c r="AN13" s="3">
        <v>100</v>
      </c>
      <c r="AO13" s="8" t="s">
        <v>11</v>
      </c>
      <c r="AR13" s="18" t="s">
        <v>5</v>
      </c>
      <c r="AS13" s="21">
        <f>AJ15</f>
        <v>93.5</v>
      </c>
      <c r="AT13" s="21">
        <f t="shared" si="3"/>
        <v>85.722222222222229</v>
      </c>
    </row>
    <row r="14" spans="1:47" s="10" customFormat="1" ht="19.5" customHeight="1" x14ac:dyDescent="0.3">
      <c r="A14" s="17" t="s">
        <v>6</v>
      </c>
      <c r="B14" s="3">
        <v>90</v>
      </c>
      <c r="C14" s="3">
        <v>95</v>
      </c>
      <c r="D14" s="7">
        <f t="shared" si="1"/>
        <v>92.5</v>
      </c>
      <c r="E14" s="24" t="s">
        <v>50</v>
      </c>
      <c r="F14" s="12">
        <v>95</v>
      </c>
      <c r="G14" s="12">
        <v>100</v>
      </c>
      <c r="H14" s="29">
        <f t="shared" si="6"/>
        <v>97.5</v>
      </c>
      <c r="I14" s="24" t="s">
        <v>57</v>
      </c>
      <c r="J14" s="3">
        <v>93</v>
      </c>
      <c r="K14" s="3">
        <v>97</v>
      </c>
      <c r="L14" s="3">
        <f t="shared" si="0"/>
        <v>95</v>
      </c>
      <c r="M14" s="24" t="s">
        <v>38</v>
      </c>
      <c r="N14" s="8">
        <v>90</v>
      </c>
      <c r="O14" s="8">
        <v>98</v>
      </c>
      <c r="P14" s="8">
        <f t="shared" si="4"/>
        <v>94</v>
      </c>
      <c r="Q14" s="9" t="s">
        <v>84</v>
      </c>
      <c r="R14" s="3">
        <v>85</v>
      </c>
      <c r="S14" s="3">
        <v>90</v>
      </c>
      <c r="T14" s="7">
        <f>AVERAGE(R14:S14)</f>
        <v>87.5</v>
      </c>
      <c r="U14" s="33" t="s">
        <v>83</v>
      </c>
      <c r="V14" s="3">
        <v>95</v>
      </c>
      <c r="W14" s="3">
        <v>100</v>
      </c>
      <c r="X14" s="3">
        <f t="shared" si="7"/>
        <v>97.5</v>
      </c>
      <c r="Y14" s="9" t="s">
        <v>11</v>
      </c>
      <c r="Z14" s="3"/>
      <c r="AA14" s="3"/>
      <c r="AB14" s="3">
        <v>85</v>
      </c>
      <c r="AC14" s="24" t="s">
        <v>85</v>
      </c>
      <c r="AD14" s="8"/>
      <c r="AE14" s="8"/>
      <c r="AF14" s="3">
        <v>85</v>
      </c>
      <c r="AG14" s="8" t="s">
        <v>11</v>
      </c>
      <c r="AH14" s="3">
        <v>90</v>
      </c>
      <c r="AI14" s="3">
        <v>95</v>
      </c>
      <c r="AJ14" s="3">
        <f t="shared" si="5"/>
        <v>92.5</v>
      </c>
      <c r="AK14" s="38" t="s">
        <v>8</v>
      </c>
      <c r="AL14" s="3"/>
      <c r="AM14" s="3"/>
      <c r="AN14" s="3">
        <v>100</v>
      </c>
      <c r="AO14" s="8" t="s">
        <v>11</v>
      </c>
      <c r="AR14" s="18" t="s">
        <v>6</v>
      </c>
      <c r="AS14" s="21">
        <f>AN15</f>
        <v>90</v>
      </c>
      <c r="AT14" s="21">
        <f t="shared" si="3"/>
        <v>92.5</v>
      </c>
    </row>
    <row r="15" spans="1:47" ht="18.75" x14ac:dyDescent="0.3">
      <c r="A15" s="19" t="s">
        <v>33</v>
      </c>
      <c r="B15" s="19"/>
      <c r="C15" s="19"/>
      <c r="D15" s="19">
        <f>AVERAGE(D5:D14)</f>
        <v>93</v>
      </c>
      <c r="E15" s="19"/>
      <c r="F15" s="19"/>
      <c r="G15" s="19"/>
      <c r="H15" s="40">
        <f t="shared" ref="H15:AN15" si="8">AVERAGE(H5:H14)</f>
        <v>98.25</v>
      </c>
      <c r="I15" s="19"/>
      <c r="J15" s="19"/>
      <c r="K15" s="19"/>
      <c r="L15" s="19">
        <f t="shared" si="8"/>
        <v>78.650000000000006</v>
      </c>
      <c r="M15" s="19"/>
      <c r="N15" s="19"/>
      <c r="O15" s="19"/>
      <c r="P15" s="35">
        <f>AVERAGE(P7:P14)</f>
        <v>94.875</v>
      </c>
      <c r="Q15" s="19"/>
      <c r="R15" s="19"/>
      <c r="S15" s="19"/>
      <c r="T15" s="19">
        <f t="shared" si="8"/>
        <v>87.75</v>
      </c>
      <c r="U15" s="19"/>
      <c r="V15" s="19"/>
      <c r="W15" s="19"/>
      <c r="X15" s="19">
        <f t="shared" si="8"/>
        <v>96.7</v>
      </c>
      <c r="Y15" s="19"/>
      <c r="Z15" s="19"/>
      <c r="AA15" s="19"/>
      <c r="AB15" s="35">
        <f t="shared" si="8"/>
        <v>88.2</v>
      </c>
      <c r="AC15" s="19"/>
      <c r="AD15" s="19"/>
      <c r="AE15" s="19"/>
      <c r="AF15" s="19">
        <f t="shared" si="8"/>
        <v>86.5</v>
      </c>
      <c r="AG15" s="19"/>
      <c r="AH15" s="19"/>
      <c r="AI15" s="19"/>
      <c r="AJ15" s="35">
        <f t="shared" si="8"/>
        <v>93.5</v>
      </c>
      <c r="AK15" s="19"/>
      <c r="AL15" s="19"/>
      <c r="AM15" s="19"/>
      <c r="AN15" s="19">
        <f t="shared" si="8"/>
        <v>90</v>
      </c>
      <c r="AO15" s="19"/>
    </row>
    <row r="16" spans="1:47" x14ac:dyDescent="0.25">
      <c r="AL16" s="2"/>
      <c r="AM16" s="2"/>
      <c r="AN16" s="2"/>
    </row>
    <row r="25" spans="44:45" x14ac:dyDescent="0.25">
      <c r="AR25" s="37" t="s">
        <v>7</v>
      </c>
      <c r="AS25" s="22" t="s">
        <v>34</v>
      </c>
    </row>
    <row r="26" spans="44:45" x14ac:dyDescent="0.25">
      <c r="AR26" t="s">
        <v>0</v>
      </c>
      <c r="AS26" s="22">
        <v>78.650000000000006</v>
      </c>
    </row>
    <row r="27" spans="44:45" x14ac:dyDescent="0.25">
      <c r="AR27" t="s">
        <v>4</v>
      </c>
      <c r="AS27" s="22">
        <v>86.5</v>
      </c>
    </row>
    <row r="28" spans="44:45" x14ac:dyDescent="0.25">
      <c r="AR28" t="s">
        <v>1</v>
      </c>
      <c r="AS28" s="22">
        <v>87.75</v>
      </c>
    </row>
    <row r="29" spans="44:45" x14ac:dyDescent="0.25">
      <c r="AR29" t="s">
        <v>3</v>
      </c>
      <c r="AS29" s="22">
        <v>88.2</v>
      </c>
    </row>
    <row r="30" spans="44:45" x14ac:dyDescent="0.25">
      <c r="AR30" t="s">
        <v>6</v>
      </c>
      <c r="AS30" s="39">
        <v>90</v>
      </c>
    </row>
    <row r="31" spans="44:45" x14ac:dyDescent="0.25">
      <c r="AR31" t="s">
        <v>25</v>
      </c>
      <c r="AS31" s="39">
        <v>93</v>
      </c>
    </row>
    <row r="32" spans="44:45" x14ac:dyDescent="0.25">
      <c r="AR32" t="s">
        <v>5</v>
      </c>
      <c r="AS32" s="22">
        <v>93.5</v>
      </c>
    </row>
    <row r="33" spans="44:45" x14ac:dyDescent="0.25">
      <c r="AR33" t="s">
        <v>117</v>
      </c>
      <c r="AS33" s="22">
        <v>94.875</v>
      </c>
    </row>
    <row r="34" spans="44:45" x14ac:dyDescent="0.25">
      <c r="AR34" t="s">
        <v>2</v>
      </c>
      <c r="AS34" s="22">
        <v>96.7</v>
      </c>
    </row>
    <row r="35" spans="44:45" x14ac:dyDescent="0.25">
      <c r="AR35" t="s">
        <v>30</v>
      </c>
      <c r="AS35" s="22">
        <v>98.25</v>
      </c>
    </row>
    <row r="36" spans="44:45" x14ac:dyDescent="0.25">
      <c r="AR36" s="37"/>
    </row>
    <row r="37" spans="44:45" x14ac:dyDescent="0.25">
      <c r="AR37" s="37"/>
    </row>
    <row r="38" spans="44:45" x14ac:dyDescent="0.25">
      <c r="AR38" s="37"/>
    </row>
    <row r="39" spans="44:45" x14ac:dyDescent="0.25">
      <c r="AR39" s="37" t="s">
        <v>7</v>
      </c>
      <c r="AS39" s="22" t="s">
        <v>35</v>
      </c>
    </row>
    <row r="40" spans="44:45" x14ac:dyDescent="0.25">
      <c r="AR40" t="s">
        <v>25</v>
      </c>
      <c r="AS40" s="22">
        <v>83.333333333333329</v>
      </c>
    </row>
    <row r="41" spans="44:45" x14ac:dyDescent="0.25">
      <c r="AR41" t="s">
        <v>30</v>
      </c>
      <c r="AS41" s="22">
        <v>84.722222222222229</v>
      </c>
    </row>
    <row r="42" spans="44:45" x14ac:dyDescent="0.25">
      <c r="AR42" t="s">
        <v>5</v>
      </c>
      <c r="AS42" s="22">
        <v>85.722222222222229</v>
      </c>
    </row>
    <row r="43" spans="44:45" x14ac:dyDescent="0.25">
      <c r="AR43" t="s">
        <v>4</v>
      </c>
      <c r="AS43" s="22">
        <v>89.388888888888886</v>
      </c>
    </row>
    <row r="44" spans="44:45" x14ac:dyDescent="0.25">
      <c r="AR44" t="s">
        <v>117</v>
      </c>
      <c r="AS44" s="22">
        <v>91.833333333333329</v>
      </c>
    </row>
    <row r="45" spans="44:45" x14ac:dyDescent="0.25">
      <c r="AR45" t="s">
        <v>1</v>
      </c>
      <c r="AS45" s="22">
        <v>92.222222222222229</v>
      </c>
    </row>
    <row r="46" spans="44:45" x14ac:dyDescent="0.25">
      <c r="AR46" t="s">
        <v>6</v>
      </c>
      <c r="AS46" s="22">
        <v>92.5</v>
      </c>
    </row>
    <row r="47" spans="44:45" x14ac:dyDescent="0.25">
      <c r="AR47" t="s">
        <v>0</v>
      </c>
      <c r="AS47" s="22">
        <v>93.888888888888886</v>
      </c>
    </row>
    <row r="48" spans="44:45" x14ac:dyDescent="0.25">
      <c r="AR48" t="s">
        <v>3</v>
      </c>
      <c r="AS48" s="22">
        <v>94.333333333333329</v>
      </c>
    </row>
    <row r="49" spans="44:45" x14ac:dyDescent="0.25">
      <c r="AR49" t="s">
        <v>2</v>
      </c>
      <c r="AS49" s="22">
        <v>94.888888888888886</v>
      </c>
    </row>
    <row r="58" spans="44:45" x14ac:dyDescent="0.25">
      <c r="AS58"/>
    </row>
    <row r="59" spans="44:45" x14ac:dyDescent="0.25">
      <c r="AS59"/>
    </row>
    <row r="60" spans="44:45" x14ac:dyDescent="0.25">
      <c r="AS60"/>
    </row>
    <row r="61" spans="44:45" x14ac:dyDescent="0.25">
      <c r="AS61"/>
    </row>
    <row r="62" spans="44:45" x14ac:dyDescent="0.25">
      <c r="AS62"/>
    </row>
    <row r="63" spans="44:45" x14ac:dyDescent="0.25">
      <c r="AS63"/>
    </row>
    <row r="64" spans="44:45" x14ac:dyDescent="0.25">
      <c r="AS64"/>
    </row>
    <row r="65" spans="45:45" x14ac:dyDescent="0.25">
      <c r="AS65"/>
    </row>
    <row r="66" spans="45:45" x14ac:dyDescent="0.25">
      <c r="AS66"/>
    </row>
    <row r="67" spans="45:45" x14ac:dyDescent="0.25">
      <c r="AS67"/>
    </row>
  </sheetData>
  <mergeCells count="11">
    <mergeCell ref="AL3:AO3"/>
    <mergeCell ref="B2:AO2"/>
    <mergeCell ref="B3:E3"/>
    <mergeCell ref="F3:I3"/>
    <mergeCell ref="J3:M3"/>
    <mergeCell ref="N3:Q3"/>
    <mergeCell ref="R3:U3"/>
    <mergeCell ref="V3:Y3"/>
    <mergeCell ref="Z3:AC3"/>
    <mergeCell ref="AD3:AG3"/>
    <mergeCell ref="AH3:AK3"/>
  </mergeCells>
  <phoneticPr fontId="11" type="noConversion"/>
  <pageMargins left="0.7" right="0.7" top="0.75" bottom="0.75" header="0.3" footer="0.3"/>
  <pageSetup paperSize="8" scale="5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D2547-457C-4FF0-AC21-5D12E4DD0CE5}">
  <sheetPr>
    <pageSetUpPr fitToPage="1"/>
  </sheetPr>
  <dimension ref="A2:AU67"/>
  <sheetViews>
    <sheetView topLeftCell="AB1" zoomScale="85" zoomScaleNormal="85" workbookViewId="0">
      <selection activeCell="AK5" sqref="AK5:AK14"/>
    </sheetView>
  </sheetViews>
  <sheetFormatPr defaultRowHeight="15" x14ac:dyDescent="0.25"/>
  <cols>
    <col min="1" max="1" width="26.7109375" bestFit="1" customWidth="1"/>
    <col min="2" max="3" width="8.5703125" bestFit="1" customWidth="1"/>
    <col min="4" max="4" width="10" bestFit="1" customWidth="1"/>
    <col min="5" max="5" width="15.28515625" bestFit="1" customWidth="1"/>
    <col min="7" max="7" width="9.5703125" customWidth="1"/>
    <col min="8" max="8" width="10" style="30" customWidth="1"/>
    <col min="9" max="9" width="21.7109375" bestFit="1" customWidth="1"/>
    <col min="10" max="10" width="10.140625" customWidth="1"/>
    <col min="11" max="11" width="12.85546875" customWidth="1"/>
    <col min="12" max="12" width="11.140625" customWidth="1"/>
    <col min="13" max="13" width="15.42578125" bestFit="1" customWidth="1"/>
    <col min="14" max="14" width="10.85546875" customWidth="1"/>
    <col min="15" max="15" width="10.5703125" customWidth="1"/>
    <col min="16" max="16" width="10.42578125" customWidth="1"/>
    <col min="17" max="17" width="31.140625" bestFit="1" customWidth="1"/>
    <col min="18" max="18" width="8.5703125" customWidth="1"/>
    <col min="19" max="19" width="9.7109375" customWidth="1"/>
    <col min="20" max="20" width="10.5703125" customWidth="1"/>
    <col min="21" max="21" width="15.140625" bestFit="1" customWidth="1"/>
    <col min="23" max="23" width="9.28515625" customWidth="1"/>
    <col min="24" max="24" width="9.85546875" customWidth="1"/>
    <col min="25" max="25" width="11" bestFit="1" customWidth="1"/>
    <col min="26" max="26" width="10.5703125" customWidth="1"/>
    <col min="27" max="27" width="11.85546875" customWidth="1"/>
    <col min="28" max="28" width="11" customWidth="1"/>
    <col min="29" max="29" width="21.140625" bestFit="1" customWidth="1"/>
    <col min="30" max="30" width="9" bestFit="1" customWidth="1"/>
    <col min="31" max="32" width="9" customWidth="1"/>
    <col min="33" max="33" width="17.42578125" bestFit="1" customWidth="1"/>
    <col min="34" max="34" width="10.140625" style="1" customWidth="1"/>
    <col min="35" max="35" width="9.7109375" style="1" customWidth="1"/>
    <col min="36" max="36" width="10.7109375" style="1" customWidth="1"/>
    <col min="37" max="37" width="16" bestFit="1" customWidth="1"/>
    <col min="38" max="38" width="10" style="1" customWidth="1"/>
    <col min="39" max="39" width="10.42578125" style="1" customWidth="1"/>
    <col min="40" max="40" width="9.28515625" style="1" customWidth="1"/>
    <col min="41" max="41" width="20.7109375" customWidth="1"/>
    <col min="44" max="44" width="32.85546875"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31.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10" customFormat="1" ht="18.75" x14ac:dyDescent="0.3">
      <c r="A5" s="16" t="s">
        <v>25</v>
      </c>
      <c r="B5" s="7">
        <v>95</v>
      </c>
      <c r="C5" s="7">
        <v>100</v>
      </c>
      <c r="D5" s="7">
        <f>AVERAGE(B5:C5)</f>
        <v>97.5</v>
      </c>
      <c r="E5" s="24" t="s">
        <v>50</v>
      </c>
      <c r="F5" s="3"/>
      <c r="G5" s="3"/>
      <c r="H5" s="27">
        <v>100</v>
      </c>
      <c r="I5" s="24" t="s">
        <v>19</v>
      </c>
      <c r="J5" s="7">
        <v>85</v>
      </c>
      <c r="K5" s="7">
        <v>90</v>
      </c>
      <c r="L5" s="7">
        <f t="shared" ref="L5:L14" si="0">AVERAGE(J5:K5)</f>
        <v>87.5</v>
      </c>
      <c r="M5" s="24" t="s">
        <v>38</v>
      </c>
      <c r="N5" s="9">
        <v>90</v>
      </c>
      <c r="O5" s="9">
        <v>100</v>
      </c>
      <c r="P5" s="8">
        <f t="shared" ref="P5:P6" si="1">AVERAGE(N5:O5)</f>
        <v>95</v>
      </c>
      <c r="Q5" s="9" t="s">
        <v>88</v>
      </c>
      <c r="R5" s="7">
        <v>85</v>
      </c>
      <c r="S5" s="7">
        <v>90</v>
      </c>
      <c r="T5" s="7">
        <f t="shared" ref="T5:T12" si="2">AVERAGE(R5:S5)</f>
        <v>87.5</v>
      </c>
      <c r="U5" s="33" t="s">
        <v>38</v>
      </c>
      <c r="V5" s="7"/>
      <c r="W5" s="7"/>
      <c r="X5" s="7">
        <v>100</v>
      </c>
      <c r="Y5" s="9" t="s">
        <v>11</v>
      </c>
      <c r="Z5" s="7">
        <v>70</v>
      </c>
      <c r="AA5" s="7">
        <v>80</v>
      </c>
      <c r="AB5" s="7">
        <f>AVERAGE(Z5:AA5)</f>
        <v>75</v>
      </c>
      <c r="AC5" s="24" t="s">
        <v>91</v>
      </c>
      <c r="AD5" s="9"/>
      <c r="AE5" s="9"/>
      <c r="AF5" s="7">
        <v>100</v>
      </c>
      <c r="AG5" s="8" t="s">
        <v>11</v>
      </c>
      <c r="AH5" s="7">
        <v>95</v>
      </c>
      <c r="AI5" s="7">
        <v>100</v>
      </c>
      <c r="AJ5" s="3">
        <f t="shared" ref="AJ5:AJ8" si="3">AVERAGE(AH5:AI5)</f>
        <v>97.5</v>
      </c>
      <c r="AK5" s="38" t="s">
        <v>8</v>
      </c>
      <c r="AL5" s="7"/>
      <c r="AM5" s="7"/>
      <c r="AN5" s="7">
        <v>0</v>
      </c>
      <c r="AO5" s="8" t="s">
        <v>10</v>
      </c>
      <c r="AR5" s="18" t="s">
        <v>25</v>
      </c>
      <c r="AS5" s="21">
        <f>D15</f>
        <v>95.75</v>
      </c>
      <c r="AT5" s="21">
        <f>AVERAGE(D5,H5,L5,T5,X5,AB5,AF5,AJ5,AN5)</f>
        <v>82.777777777777771</v>
      </c>
    </row>
    <row r="6" spans="1:47" s="10" customFormat="1" ht="18.75" x14ac:dyDescent="0.3">
      <c r="A6" s="17" t="s">
        <v>30</v>
      </c>
      <c r="B6" s="3">
        <v>90</v>
      </c>
      <c r="C6" s="3">
        <v>95</v>
      </c>
      <c r="D6" s="7">
        <f t="shared" ref="D6:D14" si="4">AVERAGE(B6:C6)</f>
        <v>92.5</v>
      </c>
      <c r="E6" s="24" t="s">
        <v>11</v>
      </c>
      <c r="F6" s="12"/>
      <c r="G6" s="12"/>
      <c r="H6" s="28">
        <v>100</v>
      </c>
      <c r="I6" s="24" t="s">
        <v>45</v>
      </c>
      <c r="J6" s="3"/>
      <c r="K6" s="3"/>
      <c r="L6" s="7">
        <v>100</v>
      </c>
      <c r="M6" s="24" t="s">
        <v>45</v>
      </c>
      <c r="N6" s="8">
        <v>80</v>
      </c>
      <c r="O6" s="8">
        <v>90</v>
      </c>
      <c r="P6" s="8">
        <f t="shared" si="1"/>
        <v>85</v>
      </c>
      <c r="Q6" s="9" t="s">
        <v>90</v>
      </c>
      <c r="R6" s="7">
        <v>90</v>
      </c>
      <c r="S6" s="7">
        <v>95</v>
      </c>
      <c r="T6" s="7">
        <f t="shared" si="2"/>
        <v>92.5</v>
      </c>
      <c r="U6" s="33" t="s">
        <v>38</v>
      </c>
      <c r="V6" s="3">
        <v>80</v>
      </c>
      <c r="W6" s="3">
        <v>90</v>
      </c>
      <c r="X6" s="36">
        <f t="shared" ref="X6" si="5">AVERAGE(V6:W6)</f>
        <v>85</v>
      </c>
      <c r="Y6" s="9" t="s">
        <v>11</v>
      </c>
      <c r="Z6" s="3">
        <v>80</v>
      </c>
      <c r="AA6" s="3">
        <v>90</v>
      </c>
      <c r="AB6" s="7">
        <f t="shared" ref="AB6:AB10" si="6">AVERAGE(Z6:AA6)</f>
        <v>85</v>
      </c>
      <c r="AC6" s="24" t="s">
        <v>47</v>
      </c>
      <c r="AD6" s="8"/>
      <c r="AE6" s="8"/>
      <c r="AF6" s="3">
        <v>70</v>
      </c>
      <c r="AG6" s="8" t="s">
        <v>49</v>
      </c>
      <c r="AH6" s="7">
        <v>85</v>
      </c>
      <c r="AI6" s="3">
        <v>90</v>
      </c>
      <c r="AJ6" s="3">
        <f t="shared" si="3"/>
        <v>87.5</v>
      </c>
      <c r="AK6" s="38" t="s">
        <v>8</v>
      </c>
      <c r="AL6" s="3">
        <v>90</v>
      </c>
      <c r="AM6" s="3">
        <v>100</v>
      </c>
      <c r="AN6" s="3">
        <f>AVERAGE(AL6:AM6)</f>
        <v>95</v>
      </c>
      <c r="AO6" s="8" t="s">
        <v>11</v>
      </c>
      <c r="AR6" s="18" t="s">
        <v>30</v>
      </c>
      <c r="AS6" s="21">
        <f>H15</f>
        <v>97.4</v>
      </c>
      <c r="AT6" s="21">
        <f t="shared" ref="AT6:AT14" si="7">AVERAGE(D6,H6,L6,T6,X6,AB6,AF6,AJ6,AN6)</f>
        <v>89.722222222222229</v>
      </c>
    </row>
    <row r="7" spans="1:47" s="10" customFormat="1" ht="18.75" x14ac:dyDescent="0.3">
      <c r="A7" s="17" t="s">
        <v>0</v>
      </c>
      <c r="B7" s="3">
        <v>95</v>
      </c>
      <c r="C7" s="3">
        <v>100</v>
      </c>
      <c r="D7" s="7">
        <f t="shared" si="4"/>
        <v>97.5</v>
      </c>
      <c r="E7" s="24" t="s">
        <v>11</v>
      </c>
      <c r="F7" s="12"/>
      <c r="G7" s="12"/>
      <c r="H7" s="28">
        <v>100</v>
      </c>
      <c r="I7" s="24" t="s">
        <v>57</v>
      </c>
      <c r="J7" s="3">
        <v>20</v>
      </c>
      <c r="K7" s="3">
        <v>25</v>
      </c>
      <c r="L7" s="7">
        <f t="shared" si="0"/>
        <v>22.5</v>
      </c>
      <c r="M7" s="8" t="s">
        <v>49</v>
      </c>
      <c r="N7" s="8">
        <v>95</v>
      </c>
      <c r="O7" s="8">
        <v>100</v>
      </c>
      <c r="P7" s="8">
        <f>AVERAGE(N7:O7)</f>
        <v>97.5</v>
      </c>
      <c r="Q7" s="9" t="s">
        <v>90</v>
      </c>
      <c r="R7" s="7">
        <v>85</v>
      </c>
      <c r="S7" s="7">
        <v>90</v>
      </c>
      <c r="T7" s="7">
        <f t="shared" si="2"/>
        <v>87.5</v>
      </c>
      <c r="U7" s="33" t="s">
        <v>38</v>
      </c>
      <c r="V7" s="3"/>
      <c r="W7" s="3"/>
      <c r="X7" s="36">
        <v>100</v>
      </c>
      <c r="Y7" s="9" t="s">
        <v>11</v>
      </c>
      <c r="Z7" s="3">
        <v>90</v>
      </c>
      <c r="AA7" s="3">
        <v>95</v>
      </c>
      <c r="AB7" s="7">
        <f t="shared" si="6"/>
        <v>92.5</v>
      </c>
      <c r="AC7" s="24" t="s">
        <v>47</v>
      </c>
      <c r="AD7" s="8"/>
      <c r="AE7" s="8"/>
      <c r="AF7" s="3">
        <v>90</v>
      </c>
      <c r="AG7" s="8" t="s">
        <v>49</v>
      </c>
      <c r="AH7" s="7">
        <v>90</v>
      </c>
      <c r="AI7" s="3">
        <v>95</v>
      </c>
      <c r="AJ7" s="3">
        <f t="shared" si="3"/>
        <v>92.5</v>
      </c>
      <c r="AK7" s="38" t="s">
        <v>11</v>
      </c>
      <c r="AL7" s="3">
        <v>90</v>
      </c>
      <c r="AM7" s="3">
        <v>100</v>
      </c>
      <c r="AN7" s="3">
        <f t="shared" ref="AN7:AN14" si="8">AVERAGE(AL7:AM7)</f>
        <v>95</v>
      </c>
      <c r="AO7" s="8" t="s">
        <v>11</v>
      </c>
      <c r="AR7" s="18" t="s">
        <v>0</v>
      </c>
      <c r="AS7" s="21">
        <f>L15</f>
        <v>78.650000000000006</v>
      </c>
      <c r="AT7" s="21">
        <f t="shared" si="7"/>
        <v>86.388888888888886</v>
      </c>
    </row>
    <row r="8" spans="1:47" s="10" customFormat="1" ht="18.75" x14ac:dyDescent="0.3">
      <c r="A8" s="17" t="s">
        <v>117</v>
      </c>
      <c r="B8" s="3">
        <v>90</v>
      </c>
      <c r="C8" s="3">
        <v>95</v>
      </c>
      <c r="D8" s="7">
        <f t="shared" si="4"/>
        <v>92.5</v>
      </c>
      <c r="E8" s="24" t="s">
        <v>11</v>
      </c>
      <c r="F8" s="12"/>
      <c r="G8" s="12"/>
      <c r="H8" s="28">
        <v>100</v>
      </c>
      <c r="I8" s="24" t="s">
        <v>73</v>
      </c>
      <c r="J8" s="3">
        <v>95</v>
      </c>
      <c r="K8" s="3">
        <v>98</v>
      </c>
      <c r="L8" s="7">
        <f t="shared" si="0"/>
        <v>96.5</v>
      </c>
      <c r="M8" s="24" t="s">
        <v>38</v>
      </c>
      <c r="N8" s="8">
        <v>98</v>
      </c>
      <c r="O8" s="8">
        <v>100</v>
      </c>
      <c r="P8" s="8">
        <f t="shared" ref="P8:P14" si="9">AVERAGE(N8:O8)</f>
        <v>99</v>
      </c>
      <c r="Q8" s="9" t="s">
        <v>90</v>
      </c>
      <c r="R8" s="7">
        <v>90</v>
      </c>
      <c r="S8" s="7">
        <v>95</v>
      </c>
      <c r="T8" s="7">
        <f t="shared" si="2"/>
        <v>92.5</v>
      </c>
      <c r="U8" s="33" t="s">
        <v>51</v>
      </c>
      <c r="V8" s="3"/>
      <c r="W8" s="3"/>
      <c r="X8" s="36">
        <v>100</v>
      </c>
      <c r="Y8" s="9" t="s">
        <v>11</v>
      </c>
      <c r="Z8" s="3">
        <v>85</v>
      </c>
      <c r="AA8" s="3">
        <v>90</v>
      </c>
      <c r="AB8" s="7">
        <f t="shared" si="6"/>
        <v>87.5</v>
      </c>
      <c r="AC8" s="24" t="s">
        <v>91</v>
      </c>
      <c r="AD8" s="8"/>
      <c r="AE8" s="8"/>
      <c r="AF8" s="3">
        <v>95</v>
      </c>
      <c r="AG8" s="8" t="s">
        <v>50</v>
      </c>
      <c r="AH8" s="3">
        <v>85</v>
      </c>
      <c r="AI8" s="3">
        <v>90</v>
      </c>
      <c r="AJ8" s="3">
        <f t="shared" si="3"/>
        <v>87.5</v>
      </c>
      <c r="AK8" s="38" t="s">
        <v>92</v>
      </c>
      <c r="AL8" s="3">
        <v>90</v>
      </c>
      <c r="AM8" s="3">
        <v>100</v>
      </c>
      <c r="AN8" s="3">
        <f t="shared" si="8"/>
        <v>95</v>
      </c>
      <c r="AO8" s="8" t="s">
        <v>11</v>
      </c>
      <c r="AR8" s="18" t="s">
        <v>117</v>
      </c>
      <c r="AS8" s="21">
        <f>P15</f>
        <v>97.35</v>
      </c>
      <c r="AT8" s="21">
        <f t="shared" si="7"/>
        <v>94.055555555555557</v>
      </c>
    </row>
    <row r="9" spans="1:47" s="10" customFormat="1" ht="18.75" x14ac:dyDescent="0.3">
      <c r="A9" s="17" t="s">
        <v>1</v>
      </c>
      <c r="B9" s="3">
        <v>95</v>
      </c>
      <c r="C9" s="3">
        <v>100</v>
      </c>
      <c r="D9" s="7">
        <f t="shared" si="4"/>
        <v>97.5</v>
      </c>
      <c r="E9" s="24" t="s">
        <v>50</v>
      </c>
      <c r="F9" s="12"/>
      <c r="G9" s="12"/>
      <c r="H9" s="28">
        <v>95</v>
      </c>
      <c r="I9" s="24" t="s">
        <v>57</v>
      </c>
      <c r="J9" s="3">
        <v>75</v>
      </c>
      <c r="K9" s="3">
        <v>80</v>
      </c>
      <c r="L9" s="7">
        <f t="shared" si="0"/>
        <v>77.5</v>
      </c>
      <c r="M9" s="8" t="s">
        <v>49</v>
      </c>
      <c r="N9" s="8">
        <v>99</v>
      </c>
      <c r="O9" s="8">
        <v>100</v>
      </c>
      <c r="P9" s="8">
        <f t="shared" si="9"/>
        <v>99.5</v>
      </c>
      <c r="Q9" s="9" t="s">
        <v>90</v>
      </c>
      <c r="R9" s="7">
        <v>90</v>
      </c>
      <c r="S9" s="7">
        <v>93</v>
      </c>
      <c r="T9" s="7">
        <f t="shared" si="2"/>
        <v>91.5</v>
      </c>
      <c r="U9" s="33" t="s">
        <v>11</v>
      </c>
      <c r="V9" s="3"/>
      <c r="W9" s="3"/>
      <c r="X9" s="3">
        <v>100</v>
      </c>
      <c r="Y9" s="9" t="s">
        <v>11</v>
      </c>
      <c r="Z9" s="7">
        <v>95</v>
      </c>
      <c r="AA9" s="7">
        <v>100</v>
      </c>
      <c r="AB9" s="7">
        <f t="shared" si="6"/>
        <v>97.5</v>
      </c>
      <c r="AC9" s="24" t="s">
        <v>47</v>
      </c>
      <c r="AD9" s="8"/>
      <c r="AE9" s="8"/>
      <c r="AF9" s="3">
        <v>90</v>
      </c>
      <c r="AG9" s="8" t="s">
        <v>50</v>
      </c>
      <c r="AH9" s="3">
        <v>95</v>
      </c>
      <c r="AI9" s="3">
        <v>100</v>
      </c>
      <c r="AJ9" s="3">
        <f>AVERAGE(AH9:AI9)</f>
        <v>97.5</v>
      </c>
      <c r="AK9" s="25" t="s">
        <v>11</v>
      </c>
      <c r="AL9" s="3">
        <v>90</v>
      </c>
      <c r="AM9" s="3">
        <v>100</v>
      </c>
      <c r="AN9" s="3">
        <f t="shared" si="8"/>
        <v>95</v>
      </c>
      <c r="AO9" s="8" t="s">
        <v>11</v>
      </c>
      <c r="AR9" s="18" t="s">
        <v>1</v>
      </c>
      <c r="AS9" s="21">
        <f>T15</f>
        <v>91.05</v>
      </c>
      <c r="AT9" s="21">
        <f t="shared" si="7"/>
        <v>93.5</v>
      </c>
    </row>
    <row r="10" spans="1:47" s="10" customFormat="1" ht="18.75" x14ac:dyDescent="0.3">
      <c r="A10" s="17" t="s">
        <v>2</v>
      </c>
      <c r="B10" s="3">
        <v>95</v>
      </c>
      <c r="C10" s="3">
        <v>100</v>
      </c>
      <c r="D10" s="7">
        <f t="shared" si="4"/>
        <v>97.5</v>
      </c>
      <c r="E10" s="24" t="s">
        <v>11</v>
      </c>
      <c r="F10" s="12"/>
      <c r="G10" s="12"/>
      <c r="H10" s="29">
        <v>95</v>
      </c>
      <c r="I10" s="24" t="s">
        <v>57</v>
      </c>
      <c r="J10" s="3">
        <v>90</v>
      </c>
      <c r="K10" s="3">
        <v>95</v>
      </c>
      <c r="L10" s="7">
        <f t="shared" si="0"/>
        <v>92.5</v>
      </c>
      <c r="M10" s="24" t="s">
        <v>38</v>
      </c>
      <c r="N10" s="8">
        <v>99</v>
      </c>
      <c r="O10" s="8">
        <v>100</v>
      </c>
      <c r="P10" s="8">
        <f t="shared" si="9"/>
        <v>99.5</v>
      </c>
      <c r="Q10" s="9" t="s">
        <v>90</v>
      </c>
      <c r="R10" s="7">
        <v>90</v>
      </c>
      <c r="S10" s="7">
        <v>95</v>
      </c>
      <c r="T10" s="7">
        <f t="shared" si="2"/>
        <v>92.5</v>
      </c>
      <c r="U10" s="33" t="s">
        <v>38</v>
      </c>
      <c r="V10" s="3"/>
      <c r="W10" s="3"/>
      <c r="X10" s="3">
        <v>100</v>
      </c>
      <c r="Y10" s="9" t="s">
        <v>11</v>
      </c>
      <c r="Z10" s="3">
        <v>90</v>
      </c>
      <c r="AA10" s="3">
        <v>95</v>
      </c>
      <c r="AB10" s="7">
        <f t="shared" si="6"/>
        <v>92.5</v>
      </c>
      <c r="AC10" s="24" t="s">
        <v>47</v>
      </c>
      <c r="AD10" s="8"/>
      <c r="AE10" s="8"/>
      <c r="AF10" s="3">
        <v>95</v>
      </c>
      <c r="AG10" s="8" t="s">
        <v>50</v>
      </c>
      <c r="AH10" s="3">
        <v>90</v>
      </c>
      <c r="AI10" s="3">
        <v>95</v>
      </c>
      <c r="AJ10" s="3">
        <f t="shared" ref="AJ10:AJ14" si="10">AVERAGE(AH10:AI10)</f>
        <v>92.5</v>
      </c>
      <c r="AK10" s="38" t="s">
        <v>8</v>
      </c>
      <c r="AL10" s="3">
        <v>90</v>
      </c>
      <c r="AM10" s="3">
        <v>100</v>
      </c>
      <c r="AN10" s="3">
        <f t="shared" si="8"/>
        <v>95</v>
      </c>
      <c r="AO10" s="8" t="s">
        <v>11</v>
      </c>
      <c r="AR10" s="18" t="s">
        <v>2</v>
      </c>
      <c r="AS10" s="21">
        <f>X15</f>
        <v>98.5</v>
      </c>
      <c r="AT10" s="21">
        <f t="shared" si="7"/>
        <v>94.722222222222229</v>
      </c>
    </row>
    <row r="11" spans="1:47" s="10" customFormat="1" ht="18.75" customHeight="1" x14ac:dyDescent="0.3">
      <c r="A11" s="17" t="s">
        <v>3</v>
      </c>
      <c r="B11" s="3">
        <v>95</v>
      </c>
      <c r="C11" s="3">
        <v>100</v>
      </c>
      <c r="D11" s="7">
        <f t="shared" si="4"/>
        <v>97.5</v>
      </c>
      <c r="E11" s="24" t="s">
        <v>50</v>
      </c>
      <c r="F11" s="12"/>
      <c r="G11" s="12"/>
      <c r="H11" s="29">
        <v>95</v>
      </c>
      <c r="I11" s="24" t="s">
        <v>19</v>
      </c>
      <c r="J11" s="3">
        <v>95</v>
      </c>
      <c r="K11" s="3">
        <v>98</v>
      </c>
      <c r="L11" s="7">
        <f t="shared" si="0"/>
        <v>96.5</v>
      </c>
      <c r="M11" s="24" t="s">
        <v>73</v>
      </c>
      <c r="N11" s="8">
        <v>99</v>
      </c>
      <c r="O11" s="8">
        <v>100</v>
      </c>
      <c r="P11" s="8">
        <f t="shared" si="9"/>
        <v>99.5</v>
      </c>
      <c r="Q11" s="9" t="s">
        <v>90</v>
      </c>
      <c r="R11" s="7">
        <v>90</v>
      </c>
      <c r="S11" s="7">
        <v>93</v>
      </c>
      <c r="T11" s="7">
        <f t="shared" si="2"/>
        <v>91.5</v>
      </c>
      <c r="U11" s="33" t="s">
        <v>51</v>
      </c>
      <c r="V11" s="3"/>
      <c r="W11" s="3"/>
      <c r="X11" s="3">
        <v>100</v>
      </c>
      <c r="Y11" s="9" t="s">
        <v>11</v>
      </c>
      <c r="Z11" s="3"/>
      <c r="AA11" s="3"/>
      <c r="AB11" s="7">
        <v>80</v>
      </c>
      <c r="AC11" s="24" t="s">
        <v>89</v>
      </c>
      <c r="AD11" s="8"/>
      <c r="AE11" s="8"/>
      <c r="AF11" s="3">
        <v>95</v>
      </c>
      <c r="AG11" s="8" t="s">
        <v>50</v>
      </c>
      <c r="AH11" s="3">
        <v>85</v>
      </c>
      <c r="AI11" s="3">
        <v>90</v>
      </c>
      <c r="AJ11" s="3">
        <f t="shared" si="10"/>
        <v>87.5</v>
      </c>
      <c r="AK11" s="38" t="s">
        <v>92</v>
      </c>
      <c r="AL11" s="3">
        <v>90</v>
      </c>
      <c r="AM11" s="3">
        <v>100</v>
      </c>
      <c r="AN11" s="3">
        <f t="shared" si="8"/>
        <v>95</v>
      </c>
      <c r="AO11" s="8" t="s">
        <v>11</v>
      </c>
      <c r="AR11" s="18" t="s">
        <v>3</v>
      </c>
      <c r="AS11" s="32">
        <f>AB15</f>
        <v>88</v>
      </c>
      <c r="AT11" s="21">
        <f t="shared" si="7"/>
        <v>93.111111111111114</v>
      </c>
      <c r="AU11" s="4"/>
    </row>
    <row r="12" spans="1:47" s="10" customFormat="1" ht="20.25" customHeight="1" x14ac:dyDescent="0.3">
      <c r="A12" s="17" t="s">
        <v>4</v>
      </c>
      <c r="B12" s="3">
        <v>95</v>
      </c>
      <c r="C12" s="3">
        <v>100</v>
      </c>
      <c r="D12" s="7">
        <f t="shared" si="4"/>
        <v>97.5</v>
      </c>
      <c r="E12" s="24" t="s">
        <v>11</v>
      </c>
      <c r="F12" s="12"/>
      <c r="G12" s="12"/>
      <c r="H12" s="29">
        <v>95</v>
      </c>
      <c r="I12" s="24" t="s">
        <v>57</v>
      </c>
      <c r="J12" s="3">
        <v>85</v>
      </c>
      <c r="K12" s="3">
        <v>90</v>
      </c>
      <c r="L12" s="7">
        <f t="shared" si="0"/>
        <v>87.5</v>
      </c>
      <c r="M12" s="8" t="s">
        <v>49</v>
      </c>
      <c r="N12" s="8">
        <v>99</v>
      </c>
      <c r="O12" s="8">
        <v>100</v>
      </c>
      <c r="P12" s="8">
        <f t="shared" si="9"/>
        <v>99.5</v>
      </c>
      <c r="Q12" s="9" t="s">
        <v>90</v>
      </c>
      <c r="R12" s="7">
        <v>90</v>
      </c>
      <c r="S12" s="7">
        <v>93</v>
      </c>
      <c r="T12" s="7">
        <f t="shared" si="2"/>
        <v>91.5</v>
      </c>
      <c r="U12" s="33" t="s">
        <v>51</v>
      </c>
      <c r="V12" s="3"/>
      <c r="W12" s="3"/>
      <c r="X12" s="3">
        <v>100</v>
      </c>
      <c r="Y12" s="9" t="s">
        <v>11</v>
      </c>
      <c r="Z12" s="3"/>
      <c r="AA12" s="3"/>
      <c r="AB12" s="7">
        <v>90</v>
      </c>
      <c r="AC12" s="24" t="s">
        <v>47</v>
      </c>
      <c r="AD12" s="8"/>
      <c r="AE12" s="8"/>
      <c r="AF12" s="3">
        <v>90</v>
      </c>
      <c r="AG12" s="8" t="s">
        <v>50</v>
      </c>
      <c r="AH12" s="3">
        <v>95</v>
      </c>
      <c r="AI12" s="3">
        <v>100</v>
      </c>
      <c r="AJ12" s="3">
        <f t="shared" si="10"/>
        <v>97.5</v>
      </c>
      <c r="AK12" s="25" t="s">
        <v>11</v>
      </c>
      <c r="AL12" s="3">
        <v>90</v>
      </c>
      <c r="AM12" s="3">
        <v>100</v>
      </c>
      <c r="AN12" s="3">
        <f t="shared" si="8"/>
        <v>95</v>
      </c>
      <c r="AO12" s="8" t="s">
        <v>11</v>
      </c>
      <c r="AR12" s="18" t="s">
        <v>4</v>
      </c>
      <c r="AS12" s="21">
        <f>AF15</f>
        <v>91</v>
      </c>
      <c r="AT12" s="21">
        <f t="shared" si="7"/>
        <v>93.777777777777771</v>
      </c>
    </row>
    <row r="13" spans="1:47" s="10" customFormat="1" ht="21" customHeight="1" x14ac:dyDescent="0.3">
      <c r="A13" s="17" t="s">
        <v>5</v>
      </c>
      <c r="B13" s="3">
        <v>95</v>
      </c>
      <c r="C13" s="3">
        <v>95</v>
      </c>
      <c r="D13" s="7">
        <f t="shared" si="4"/>
        <v>95</v>
      </c>
      <c r="E13" s="24" t="s">
        <v>11</v>
      </c>
      <c r="F13" s="12"/>
      <c r="G13" s="12"/>
      <c r="H13" s="29">
        <v>99</v>
      </c>
      <c r="I13" s="24" t="s">
        <v>57</v>
      </c>
      <c r="J13" s="3">
        <v>30</v>
      </c>
      <c r="K13" s="3">
        <v>35</v>
      </c>
      <c r="L13" s="7">
        <f t="shared" si="0"/>
        <v>32.5</v>
      </c>
      <c r="M13" s="8" t="s">
        <v>49</v>
      </c>
      <c r="N13" s="11">
        <v>99</v>
      </c>
      <c r="O13" s="11">
        <v>100</v>
      </c>
      <c r="P13" s="8">
        <f>AVERAGE(N13:O13)</f>
        <v>99.5</v>
      </c>
      <c r="Q13" s="9" t="s">
        <v>90</v>
      </c>
      <c r="R13" s="7">
        <v>90</v>
      </c>
      <c r="S13" s="7">
        <v>95</v>
      </c>
      <c r="T13" s="7">
        <f>AVERAGE(R13:S13)</f>
        <v>92.5</v>
      </c>
      <c r="U13" s="33" t="s">
        <v>51</v>
      </c>
      <c r="V13" s="3"/>
      <c r="W13" s="3"/>
      <c r="X13" s="3">
        <v>100</v>
      </c>
      <c r="Y13" s="9" t="s">
        <v>11</v>
      </c>
      <c r="Z13" s="3"/>
      <c r="AA13" s="3"/>
      <c r="AB13" s="7">
        <v>95</v>
      </c>
      <c r="AC13" s="24" t="s">
        <v>47</v>
      </c>
      <c r="AD13" s="8"/>
      <c r="AE13" s="8"/>
      <c r="AF13" s="3">
        <v>90</v>
      </c>
      <c r="AG13" s="8" t="s">
        <v>50</v>
      </c>
      <c r="AH13" s="3">
        <v>95</v>
      </c>
      <c r="AI13" s="3">
        <v>100</v>
      </c>
      <c r="AJ13" s="3">
        <f t="shared" si="10"/>
        <v>97.5</v>
      </c>
      <c r="AK13" s="25" t="s">
        <v>11</v>
      </c>
      <c r="AL13" s="3">
        <v>90</v>
      </c>
      <c r="AM13" s="3">
        <v>100</v>
      </c>
      <c r="AN13" s="3">
        <f t="shared" si="8"/>
        <v>95</v>
      </c>
      <c r="AO13" s="8" t="s">
        <v>11</v>
      </c>
      <c r="AR13" s="18" t="s">
        <v>5</v>
      </c>
      <c r="AS13" s="21">
        <f>AJ15</f>
        <v>93</v>
      </c>
      <c r="AT13" s="21">
        <f t="shared" si="7"/>
        <v>88.5</v>
      </c>
    </row>
    <row r="14" spans="1:47" s="10" customFormat="1" ht="19.5" customHeight="1" x14ac:dyDescent="0.3">
      <c r="A14" s="17" t="s">
        <v>6</v>
      </c>
      <c r="B14" s="3">
        <v>90</v>
      </c>
      <c r="C14" s="3">
        <v>95</v>
      </c>
      <c r="D14" s="7">
        <f t="shared" si="4"/>
        <v>92.5</v>
      </c>
      <c r="E14" s="24" t="s">
        <v>11</v>
      </c>
      <c r="F14" s="12"/>
      <c r="G14" s="12"/>
      <c r="H14" s="29">
        <v>95</v>
      </c>
      <c r="I14" s="24" t="s">
        <v>19</v>
      </c>
      <c r="J14" s="3">
        <v>92</v>
      </c>
      <c r="K14" s="3">
        <v>95</v>
      </c>
      <c r="L14" s="3">
        <f t="shared" si="0"/>
        <v>93.5</v>
      </c>
      <c r="M14" s="24" t="s">
        <v>38</v>
      </c>
      <c r="N14" s="8">
        <v>99</v>
      </c>
      <c r="O14" s="8">
        <v>100</v>
      </c>
      <c r="P14" s="8">
        <f t="shared" si="9"/>
        <v>99.5</v>
      </c>
      <c r="Q14" s="9" t="s">
        <v>90</v>
      </c>
      <c r="R14" s="3">
        <v>90</v>
      </c>
      <c r="S14" s="3">
        <v>92</v>
      </c>
      <c r="T14" s="7">
        <f>AVERAGE(R14:S14)</f>
        <v>91</v>
      </c>
      <c r="U14" s="33" t="s">
        <v>51</v>
      </c>
      <c r="V14" s="3"/>
      <c r="W14" s="3"/>
      <c r="X14" s="3">
        <v>100</v>
      </c>
      <c r="Y14" s="9" t="s">
        <v>11</v>
      </c>
      <c r="Z14" s="3"/>
      <c r="AA14" s="3"/>
      <c r="AB14" s="7">
        <v>85</v>
      </c>
      <c r="AC14" s="24" t="s">
        <v>89</v>
      </c>
      <c r="AD14" s="8"/>
      <c r="AE14" s="8"/>
      <c r="AF14" s="3">
        <v>95</v>
      </c>
      <c r="AG14" s="8" t="s">
        <v>50</v>
      </c>
      <c r="AH14" s="3">
        <v>90</v>
      </c>
      <c r="AI14" s="3">
        <v>95</v>
      </c>
      <c r="AJ14" s="3">
        <f t="shared" si="10"/>
        <v>92.5</v>
      </c>
      <c r="AK14" s="38" t="s">
        <v>8</v>
      </c>
      <c r="AL14" s="3">
        <v>90</v>
      </c>
      <c r="AM14" s="3">
        <v>100</v>
      </c>
      <c r="AN14" s="3">
        <f t="shared" si="8"/>
        <v>95</v>
      </c>
      <c r="AO14" s="8" t="s">
        <v>11</v>
      </c>
      <c r="AR14" s="18" t="s">
        <v>6</v>
      </c>
      <c r="AS14" s="21">
        <f>AN15</f>
        <v>85.5</v>
      </c>
      <c r="AT14" s="21">
        <f t="shared" si="7"/>
        <v>93.277777777777771</v>
      </c>
    </row>
    <row r="15" spans="1:47" ht="18.75" x14ac:dyDescent="0.3">
      <c r="A15" s="19" t="s">
        <v>33</v>
      </c>
      <c r="B15" s="19"/>
      <c r="C15" s="19"/>
      <c r="D15" s="19">
        <f>AVERAGE(D5:D14)</f>
        <v>95.75</v>
      </c>
      <c r="E15" s="19"/>
      <c r="F15" s="19"/>
      <c r="G15" s="19"/>
      <c r="H15" s="40">
        <f t="shared" ref="H15:AN15" si="11">AVERAGE(H5:H14)</f>
        <v>97.4</v>
      </c>
      <c r="I15" s="19"/>
      <c r="J15" s="19"/>
      <c r="K15" s="19"/>
      <c r="L15" s="19">
        <f t="shared" si="11"/>
        <v>78.650000000000006</v>
      </c>
      <c r="M15" s="19"/>
      <c r="N15" s="19"/>
      <c r="O15" s="19"/>
      <c r="P15" s="19">
        <f>AVERAGE(P5:P14)</f>
        <v>97.35</v>
      </c>
      <c r="Q15" s="19"/>
      <c r="R15" s="19"/>
      <c r="S15" s="19"/>
      <c r="T15" s="19">
        <f t="shared" si="11"/>
        <v>91.05</v>
      </c>
      <c r="U15" s="19"/>
      <c r="V15" s="19"/>
      <c r="W15" s="19"/>
      <c r="X15" s="19">
        <f t="shared" si="11"/>
        <v>98.5</v>
      </c>
      <c r="Y15" s="19"/>
      <c r="Z15" s="19"/>
      <c r="AA15" s="19"/>
      <c r="AB15" s="35">
        <f t="shared" si="11"/>
        <v>88</v>
      </c>
      <c r="AC15" s="19"/>
      <c r="AD15" s="19"/>
      <c r="AE15" s="19"/>
      <c r="AF15" s="19">
        <f t="shared" si="11"/>
        <v>91</v>
      </c>
      <c r="AG15" s="19"/>
      <c r="AH15" s="19"/>
      <c r="AI15" s="19"/>
      <c r="AJ15" s="35">
        <f t="shared" si="11"/>
        <v>93</v>
      </c>
      <c r="AK15" s="19"/>
      <c r="AL15" s="19"/>
      <c r="AM15" s="19"/>
      <c r="AN15" s="19">
        <f t="shared" si="11"/>
        <v>85.5</v>
      </c>
      <c r="AO15" s="19"/>
    </row>
    <row r="16" spans="1:47" x14ac:dyDescent="0.25">
      <c r="AL16" s="2"/>
      <c r="AM16" s="2"/>
      <c r="AN16" s="2"/>
    </row>
    <row r="22" spans="1:45" x14ac:dyDescent="0.25">
      <c r="A22" t="s">
        <v>76</v>
      </c>
    </row>
    <row r="25" spans="1:45" x14ac:dyDescent="0.25">
      <c r="AR25" s="37" t="s">
        <v>7</v>
      </c>
      <c r="AS25" s="22" t="s">
        <v>34</v>
      </c>
    </row>
    <row r="26" spans="1:45" x14ac:dyDescent="0.25">
      <c r="AR26" t="s">
        <v>0</v>
      </c>
      <c r="AS26" s="22">
        <v>78.650000000000006</v>
      </c>
    </row>
    <row r="27" spans="1:45" x14ac:dyDescent="0.25">
      <c r="AR27" t="s">
        <v>6</v>
      </c>
      <c r="AS27" s="22">
        <v>85.5</v>
      </c>
    </row>
    <row r="28" spans="1:45" x14ac:dyDescent="0.25">
      <c r="AR28" t="s">
        <v>3</v>
      </c>
      <c r="AS28" s="39">
        <v>88</v>
      </c>
    </row>
    <row r="29" spans="1:45" x14ac:dyDescent="0.25">
      <c r="AR29" t="s">
        <v>4</v>
      </c>
      <c r="AS29" s="39">
        <v>91</v>
      </c>
    </row>
    <row r="30" spans="1:45" x14ac:dyDescent="0.25">
      <c r="AR30" t="s">
        <v>1</v>
      </c>
      <c r="AS30" s="22">
        <v>91.05</v>
      </c>
    </row>
    <row r="31" spans="1:45" x14ac:dyDescent="0.25">
      <c r="AR31" t="s">
        <v>5</v>
      </c>
      <c r="AS31" s="39">
        <v>93</v>
      </c>
    </row>
    <row r="32" spans="1:45" x14ac:dyDescent="0.25">
      <c r="AR32" t="s">
        <v>25</v>
      </c>
      <c r="AS32" s="22">
        <v>95.75</v>
      </c>
    </row>
    <row r="33" spans="44:45" x14ac:dyDescent="0.25">
      <c r="AR33" t="s">
        <v>117</v>
      </c>
      <c r="AS33" s="22">
        <v>97.35</v>
      </c>
    </row>
    <row r="34" spans="44:45" x14ac:dyDescent="0.25">
      <c r="AR34" t="s">
        <v>30</v>
      </c>
      <c r="AS34" s="22">
        <v>97.4</v>
      </c>
    </row>
    <row r="35" spans="44:45" x14ac:dyDescent="0.25">
      <c r="AR35" t="s">
        <v>2</v>
      </c>
      <c r="AS35" s="22">
        <v>98.5</v>
      </c>
    </row>
    <row r="36" spans="44:45" x14ac:dyDescent="0.25">
      <c r="AR36" s="37"/>
    </row>
    <row r="37" spans="44:45" x14ac:dyDescent="0.25">
      <c r="AR37" s="37"/>
    </row>
    <row r="38" spans="44:45" x14ac:dyDescent="0.25">
      <c r="AR38" s="37"/>
    </row>
    <row r="39" spans="44:45" x14ac:dyDescent="0.25">
      <c r="AR39" s="37" t="s">
        <v>7</v>
      </c>
      <c r="AS39" s="22" t="s">
        <v>35</v>
      </c>
    </row>
    <row r="40" spans="44:45" x14ac:dyDescent="0.25">
      <c r="AR40" t="s">
        <v>25</v>
      </c>
      <c r="AS40" s="22">
        <v>82.777777777777771</v>
      </c>
    </row>
    <row r="41" spans="44:45" x14ac:dyDescent="0.25">
      <c r="AR41" t="s">
        <v>0</v>
      </c>
      <c r="AS41" s="22">
        <v>86.388888888888886</v>
      </c>
    </row>
    <row r="42" spans="44:45" x14ac:dyDescent="0.25">
      <c r="AR42" t="s">
        <v>5</v>
      </c>
      <c r="AS42" s="22">
        <v>88.5</v>
      </c>
    </row>
    <row r="43" spans="44:45" x14ac:dyDescent="0.25">
      <c r="AR43" t="s">
        <v>30</v>
      </c>
      <c r="AS43" s="22">
        <v>89.722222222222229</v>
      </c>
    </row>
    <row r="44" spans="44:45" x14ac:dyDescent="0.25">
      <c r="AR44" t="s">
        <v>3</v>
      </c>
      <c r="AS44" s="22">
        <v>93.111111111111114</v>
      </c>
    </row>
    <row r="45" spans="44:45" x14ac:dyDescent="0.25">
      <c r="AR45" t="s">
        <v>6</v>
      </c>
      <c r="AS45" s="22">
        <v>93.277777777777771</v>
      </c>
    </row>
    <row r="46" spans="44:45" x14ac:dyDescent="0.25">
      <c r="AR46" t="s">
        <v>1</v>
      </c>
      <c r="AS46" s="22">
        <v>93.5</v>
      </c>
    </row>
    <row r="47" spans="44:45" x14ac:dyDescent="0.25">
      <c r="AR47" t="s">
        <v>4</v>
      </c>
      <c r="AS47" s="22">
        <v>93.777777777777771</v>
      </c>
    </row>
    <row r="48" spans="44:45" x14ac:dyDescent="0.25">
      <c r="AR48" t="s">
        <v>117</v>
      </c>
      <c r="AS48" s="22">
        <v>94.055555555555557</v>
      </c>
    </row>
    <row r="49" spans="44:45" x14ac:dyDescent="0.25">
      <c r="AR49" t="s">
        <v>2</v>
      </c>
      <c r="AS49" s="22">
        <v>94.722222222222229</v>
      </c>
    </row>
    <row r="58" spans="44:45" x14ac:dyDescent="0.25">
      <c r="AS58"/>
    </row>
    <row r="59" spans="44:45" x14ac:dyDescent="0.25">
      <c r="AS59"/>
    </row>
    <row r="60" spans="44:45" x14ac:dyDescent="0.25">
      <c r="AS60"/>
    </row>
    <row r="61" spans="44:45" x14ac:dyDescent="0.25">
      <c r="AS61"/>
    </row>
    <row r="62" spans="44:45" x14ac:dyDescent="0.25">
      <c r="AS62"/>
    </row>
    <row r="63" spans="44:45" x14ac:dyDescent="0.25">
      <c r="AS63"/>
    </row>
    <row r="64" spans="44:45" x14ac:dyDescent="0.25">
      <c r="AS64"/>
    </row>
    <row r="65" spans="45:45" x14ac:dyDescent="0.25">
      <c r="AS65"/>
    </row>
    <row r="66" spans="45:45" x14ac:dyDescent="0.25">
      <c r="AS66"/>
    </row>
    <row r="67" spans="45:45" x14ac:dyDescent="0.25">
      <c r="AS67"/>
    </row>
  </sheetData>
  <mergeCells count="11">
    <mergeCell ref="AL3:AO3"/>
    <mergeCell ref="B2:AO2"/>
    <mergeCell ref="B3:E3"/>
    <mergeCell ref="F3:I3"/>
    <mergeCell ref="J3:M3"/>
    <mergeCell ref="N3:Q3"/>
    <mergeCell ref="R3:U3"/>
    <mergeCell ref="V3:Y3"/>
    <mergeCell ref="Z3:AC3"/>
    <mergeCell ref="AD3:AG3"/>
    <mergeCell ref="AH3:AK3"/>
  </mergeCells>
  <phoneticPr fontId="11" type="noConversion"/>
  <pageMargins left="0.7" right="0.7" top="0.75" bottom="0.75" header="0.3" footer="0.3"/>
  <pageSetup paperSize="8" scale="5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ACCB-8E7C-46DE-B619-31B301F3EB41}">
  <sheetPr>
    <pageSetUpPr fitToPage="1"/>
  </sheetPr>
  <dimension ref="A2:AU67"/>
  <sheetViews>
    <sheetView zoomScale="80" zoomScaleNormal="80" workbookViewId="0">
      <selection activeCell="A5" sqref="A5:A14"/>
    </sheetView>
  </sheetViews>
  <sheetFormatPr defaultRowHeight="15" x14ac:dyDescent="0.25"/>
  <cols>
    <col min="1" max="1" width="26.7109375" bestFit="1" customWidth="1"/>
    <col min="2" max="3" width="8.5703125" bestFit="1" customWidth="1"/>
    <col min="4" max="4" width="10" bestFit="1" customWidth="1"/>
    <col min="5" max="5" width="35.42578125" bestFit="1" customWidth="1"/>
    <col min="7" max="7" width="9.5703125" customWidth="1"/>
    <col min="8" max="8" width="10" style="30" customWidth="1"/>
    <col min="9" max="9" width="25.28515625" bestFit="1" customWidth="1"/>
    <col min="10" max="10" width="10.140625" customWidth="1"/>
    <col min="11" max="11" width="12.85546875" customWidth="1"/>
    <col min="12" max="12" width="11.140625" customWidth="1"/>
    <col min="13" max="13" width="15.42578125" bestFit="1" customWidth="1"/>
    <col min="14" max="14" width="10.85546875" customWidth="1"/>
    <col min="15" max="15" width="10.5703125" customWidth="1"/>
    <col min="16" max="16" width="10.42578125" customWidth="1"/>
    <col min="17" max="17" width="31.140625" bestFit="1" customWidth="1"/>
    <col min="18" max="18" width="8.5703125" customWidth="1"/>
    <col min="19" max="19" width="9.7109375" customWidth="1"/>
    <col min="20" max="20" width="10.5703125" customWidth="1"/>
    <col min="21" max="21" width="26.85546875" bestFit="1" customWidth="1"/>
    <col min="23" max="23" width="9.28515625" customWidth="1"/>
    <col min="24" max="24" width="9.85546875" customWidth="1"/>
    <col min="25" max="25" width="17.42578125" bestFit="1" customWidth="1"/>
    <col min="26" max="26" width="10.5703125" customWidth="1"/>
    <col min="27" max="27" width="11.85546875" customWidth="1"/>
    <col min="28" max="28" width="11" customWidth="1"/>
    <col min="29" max="29" width="21.140625" bestFit="1" customWidth="1"/>
    <col min="30" max="30" width="9" bestFit="1" customWidth="1"/>
    <col min="31" max="31" width="9" customWidth="1"/>
    <col min="32" max="32" width="10" bestFit="1" customWidth="1"/>
    <col min="33" max="33" width="17.42578125" bestFit="1" customWidth="1"/>
    <col min="34" max="34" width="10.140625" style="1" customWidth="1"/>
    <col min="35" max="35" width="9.7109375" style="1" customWidth="1"/>
    <col min="36" max="36" width="10.7109375" style="1" customWidth="1"/>
    <col min="37" max="37" width="19.5703125" bestFit="1" customWidth="1"/>
    <col min="38" max="38" width="10" style="1" customWidth="1"/>
    <col min="39" max="39" width="10.42578125" style="1" customWidth="1"/>
    <col min="40" max="40" width="10" style="1" bestFit="1" customWidth="1"/>
    <col min="41" max="41" width="20.7109375" customWidth="1"/>
    <col min="44" max="44" width="32.85546875"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31.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10" customFormat="1" ht="18.75" x14ac:dyDescent="0.3">
      <c r="A5" s="16" t="s">
        <v>25</v>
      </c>
      <c r="B5" s="7">
        <v>90</v>
      </c>
      <c r="C5" s="7">
        <v>95</v>
      </c>
      <c r="D5" s="7">
        <f>AVERAGE(B5:C5)</f>
        <v>92.5</v>
      </c>
      <c r="E5" s="24" t="s">
        <v>11</v>
      </c>
      <c r="F5" s="3">
        <v>95</v>
      </c>
      <c r="G5" s="3">
        <v>100</v>
      </c>
      <c r="H5" s="27">
        <f>AVERAGE(F5:G5)</f>
        <v>97.5</v>
      </c>
      <c r="I5" s="24" t="s">
        <v>19</v>
      </c>
      <c r="J5" s="7">
        <v>85</v>
      </c>
      <c r="K5" s="7">
        <v>90</v>
      </c>
      <c r="L5" s="7">
        <f t="shared" ref="L5:L14" si="0">AVERAGE(J5:K5)</f>
        <v>87.5</v>
      </c>
      <c r="M5" s="24" t="s">
        <v>38</v>
      </c>
      <c r="N5" s="9">
        <v>95</v>
      </c>
      <c r="O5" s="9">
        <v>100</v>
      </c>
      <c r="P5" s="8">
        <f t="shared" ref="P5" si="1">AVERAGE(N5:O5)</f>
        <v>97.5</v>
      </c>
      <c r="Q5" s="9" t="s">
        <v>88</v>
      </c>
      <c r="R5" s="7">
        <v>85</v>
      </c>
      <c r="S5" s="7">
        <v>90</v>
      </c>
      <c r="T5" s="7">
        <f t="shared" ref="T5:T11" si="2">AVERAGE(R5:S5)</f>
        <v>87.5</v>
      </c>
      <c r="U5" s="33" t="s">
        <v>38</v>
      </c>
      <c r="V5" s="7"/>
      <c r="W5" s="7"/>
      <c r="X5" s="7">
        <v>100</v>
      </c>
      <c r="Y5" s="9" t="s">
        <v>38</v>
      </c>
      <c r="Z5" s="7"/>
      <c r="AA5" s="7"/>
      <c r="AB5" s="7">
        <v>80</v>
      </c>
      <c r="AC5" s="24" t="s">
        <v>55</v>
      </c>
      <c r="AD5" s="9"/>
      <c r="AE5" s="9"/>
      <c r="AF5" s="7">
        <v>100</v>
      </c>
      <c r="AG5" s="9" t="s">
        <v>38</v>
      </c>
      <c r="AH5" s="7">
        <v>95</v>
      </c>
      <c r="AI5" s="7">
        <v>100</v>
      </c>
      <c r="AJ5" s="3">
        <f t="shared" ref="AJ5:AJ6" si="3">AVERAGE(AH5:AI5)</f>
        <v>97.5</v>
      </c>
      <c r="AK5" s="9" t="s">
        <v>38</v>
      </c>
      <c r="AL5" s="7"/>
      <c r="AM5" s="7"/>
      <c r="AN5" s="7">
        <v>0</v>
      </c>
      <c r="AO5" s="8" t="s">
        <v>10</v>
      </c>
      <c r="AR5" s="18" t="s">
        <v>25</v>
      </c>
      <c r="AS5" s="21">
        <f>D15</f>
        <v>94.25</v>
      </c>
      <c r="AT5" s="21">
        <f>AVERAGE(D5,H5,L5,T5,X5,AB5,AF5,AJ5,AN5)</f>
        <v>82.5</v>
      </c>
    </row>
    <row r="6" spans="1:47" s="10" customFormat="1" ht="18.75" x14ac:dyDescent="0.3">
      <c r="A6" s="17" t="s">
        <v>30</v>
      </c>
      <c r="B6" s="3">
        <v>85</v>
      </c>
      <c r="C6" s="3">
        <v>95</v>
      </c>
      <c r="D6" s="7">
        <f t="shared" ref="D6:D14" si="4">AVERAGE(B6:C6)</f>
        <v>90</v>
      </c>
      <c r="E6" s="24" t="s">
        <v>50</v>
      </c>
      <c r="F6" s="12">
        <v>90</v>
      </c>
      <c r="G6" s="12">
        <v>100</v>
      </c>
      <c r="H6" s="27">
        <f t="shared" ref="H6:H12" si="5">AVERAGE(F6:G6)</f>
        <v>95</v>
      </c>
      <c r="I6" s="24" t="s">
        <v>57</v>
      </c>
      <c r="J6" s="3">
        <v>70</v>
      </c>
      <c r="K6" s="3">
        <v>80</v>
      </c>
      <c r="L6" s="7">
        <f t="shared" si="0"/>
        <v>75</v>
      </c>
      <c r="M6" s="24" t="s">
        <v>38</v>
      </c>
      <c r="N6" s="8">
        <v>90</v>
      </c>
      <c r="O6" s="8">
        <v>100</v>
      </c>
      <c r="P6" s="8">
        <f>AVERAGE(N6:O6)</f>
        <v>95</v>
      </c>
      <c r="Q6" s="9" t="s">
        <v>88</v>
      </c>
      <c r="R6" s="7">
        <v>80</v>
      </c>
      <c r="S6" s="7">
        <v>85</v>
      </c>
      <c r="T6" s="7">
        <f t="shared" si="2"/>
        <v>82.5</v>
      </c>
      <c r="U6" s="33" t="s">
        <v>38</v>
      </c>
      <c r="V6" s="3"/>
      <c r="W6" s="3"/>
      <c r="X6" s="36">
        <v>100</v>
      </c>
      <c r="Y6" s="9" t="s">
        <v>38</v>
      </c>
      <c r="Z6" s="3"/>
      <c r="AA6" s="3"/>
      <c r="AB6" s="7">
        <v>90</v>
      </c>
      <c r="AC6" s="24" t="s">
        <v>93</v>
      </c>
      <c r="AD6" s="8"/>
      <c r="AE6" s="8"/>
      <c r="AF6" s="3">
        <v>100</v>
      </c>
      <c r="AG6" s="9" t="s">
        <v>38</v>
      </c>
      <c r="AH6" s="7">
        <v>90</v>
      </c>
      <c r="AI6" s="3">
        <v>95</v>
      </c>
      <c r="AJ6" s="3">
        <f t="shared" si="3"/>
        <v>92.5</v>
      </c>
      <c r="AK6" s="38" t="s">
        <v>38</v>
      </c>
      <c r="AL6" s="3"/>
      <c r="AM6" s="3"/>
      <c r="AN6" s="3">
        <v>0</v>
      </c>
      <c r="AO6" s="8" t="s">
        <v>10</v>
      </c>
      <c r="AR6" s="18" t="s">
        <v>30</v>
      </c>
      <c r="AS6" s="21">
        <f>H15</f>
        <v>98.65</v>
      </c>
      <c r="AT6" s="21">
        <f t="shared" ref="AT6:AT14" si="6">AVERAGE(D6,H6,L6,T6,X6,AB6,AF6,AJ6,AN6)</f>
        <v>80.555555555555557</v>
      </c>
    </row>
    <row r="7" spans="1:47" s="10" customFormat="1" ht="18.75" x14ac:dyDescent="0.3">
      <c r="A7" s="17" t="s">
        <v>0</v>
      </c>
      <c r="B7" s="3">
        <v>95</v>
      </c>
      <c r="C7" s="3">
        <v>100</v>
      </c>
      <c r="D7" s="7">
        <f t="shared" si="4"/>
        <v>97.5</v>
      </c>
      <c r="E7" s="24" t="s">
        <v>50</v>
      </c>
      <c r="F7" s="12">
        <v>95</v>
      </c>
      <c r="G7" s="12">
        <v>100</v>
      </c>
      <c r="H7" s="27">
        <f t="shared" si="5"/>
        <v>97.5</v>
      </c>
      <c r="I7" s="24" t="s">
        <v>19</v>
      </c>
      <c r="J7" s="3">
        <v>90</v>
      </c>
      <c r="K7" s="3">
        <v>95</v>
      </c>
      <c r="L7" s="7">
        <f t="shared" si="0"/>
        <v>92.5</v>
      </c>
      <c r="M7" s="24" t="s">
        <v>38</v>
      </c>
      <c r="N7" s="8">
        <v>95</v>
      </c>
      <c r="O7" s="8">
        <v>100</v>
      </c>
      <c r="P7" s="8">
        <f>AVERAGE(N7:O7)</f>
        <v>97.5</v>
      </c>
      <c r="Q7" s="9" t="s">
        <v>88</v>
      </c>
      <c r="R7" s="7">
        <v>85</v>
      </c>
      <c r="S7" s="7">
        <v>90</v>
      </c>
      <c r="T7" s="7">
        <f t="shared" si="2"/>
        <v>87.5</v>
      </c>
      <c r="U7" s="33" t="s">
        <v>51</v>
      </c>
      <c r="V7" s="3"/>
      <c r="W7" s="3"/>
      <c r="X7" s="36">
        <v>100</v>
      </c>
      <c r="Y7" s="9" t="s">
        <v>38</v>
      </c>
      <c r="Z7" s="3"/>
      <c r="AA7" s="3"/>
      <c r="AB7" s="7">
        <v>85</v>
      </c>
      <c r="AC7" s="24" t="s">
        <v>94</v>
      </c>
      <c r="AD7" s="8"/>
      <c r="AE7" s="8"/>
      <c r="AF7" s="3">
        <v>100</v>
      </c>
      <c r="AG7" s="9" t="s">
        <v>38</v>
      </c>
      <c r="AH7" s="7"/>
      <c r="AI7" s="3"/>
      <c r="AJ7" s="3">
        <v>85</v>
      </c>
      <c r="AK7" s="9" t="s">
        <v>38</v>
      </c>
      <c r="AL7" s="3"/>
      <c r="AM7" s="3"/>
      <c r="AN7" s="3">
        <v>0</v>
      </c>
      <c r="AO7" s="8" t="s">
        <v>10</v>
      </c>
      <c r="AR7" s="18" t="s">
        <v>0</v>
      </c>
      <c r="AS7" s="21">
        <f>L15</f>
        <v>85.55</v>
      </c>
      <c r="AT7" s="21">
        <f t="shared" si="6"/>
        <v>82.777777777777771</v>
      </c>
    </row>
    <row r="8" spans="1:47" s="10" customFormat="1" ht="18.75" x14ac:dyDescent="0.3">
      <c r="A8" s="17" t="s">
        <v>117</v>
      </c>
      <c r="B8" s="3">
        <v>95</v>
      </c>
      <c r="C8" s="3">
        <v>100</v>
      </c>
      <c r="D8" s="7">
        <f t="shared" si="4"/>
        <v>97.5</v>
      </c>
      <c r="E8" s="24" t="s">
        <v>95</v>
      </c>
      <c r="F8" s="12">
        <v>99</v>
      </c>
      <c r="G8" s="12">
        <v>100</v>
      </c>
      <c r="H8" s="27">
        <f t="shared" si="5"/>
        <v>99.5</v>
      </c>
      <c r="I8" s="24" t="s">
        <v>57</v>
      </c>
      <c r="J8" s="3">
        <v>95</v>
      </c>
      <c r="K8" s="3">
        <v>98</v>
      </c>
      <c r="L8" s="7">
        <f t="shared" si="0"/>
        <v>96.5</v>
      </c>
      <c r="M8" s="24" t="s">
        <v>38</v>
      </c>
      <c r="N8" s="8">
        <v>98</v>
      </c>
      <c r="O8" s="8">
        <v>100</v>
      </c>
      <c r="P8" s="8">
        <f t="shared" ref="P8:P14" si="7">AVERAGE(N8:O8)</f>
        <v>99</v>
      </c>
      <c r="Q8" s="9" t="s">
        <v>96</v>
      </c>
      <c r="R8" s="7">
        <v>90</v>
      </c>
      <c r="S8" s="7">
        <v>95</v>
      </c>
      <c r="T8" s="7">
        <f t="shared" si="2"/>
        <v>92.5</v>
      </c>
      <c r="U8" s="33" t="s">
        <v>51</v>
      </c>
      <c r="V8" s="3"/>
      <c r="W8" s="3"/>
      <c r="X8" s="36">
        <v>100</v>
      </c>
      <c r="Y8" s="9" t="s">
        <v>38</v>
      </c>
      <c r="Z8" s="3"/>
      <c r="AA8" s="3"/>
      <c r="AB8" s="7">
        <v>95</v>
      </c>
      <c r="AC8" s="24" t="s">
        <v>97</v>
      </c>
      <c r="AD8" s="8"/>
      <c r="AE8" s="8"/>
      <c r="AF8" s="3">
        <v>100</v>
      </c>
      <c r="AG8" s="9" t="s">
        <v>38</v>
      </c>
      <c r="AH8" s="3"/>
      <c r="AI8" s="3"/>
      <c r="AJ8" s="3">
        <v>90</v>
      </c>
      <c r="AK8" s="38" t="s">
        <v>11</v>
      </c>
      <c r="AL8" s="3"/>
      <c r="AM8" s="3"/>
      <c r="AN8" s="3">
        <v>0</v>
      </c>
      <c r="AO8" s="8" t="s">
        <v>10</v>
      </c>
      <c r="AR8" s="18" t="s">
        <v>117</v>
      </c>
      <c r="AS8" s="21">
        <f>P15</f>
        <v>98.3</v>
      </c>
      <c r="AT8" s="21">
        <f t="shared" si="6"/>
        <v>85.666666666666671</v>
      </c>
    </row>
    <row r="9" spans="1:47" s="10" customFormat="1" ht="18.75" x14ac:dyDescent="0.3">
      <c r="A9" s="17" t="s">
        <v>1</v>
      </c>
      <c r="B9" s="3">
        <v>95</v>
      </c>
      <c r="C9" s="3">
        <v>100</v>
      </c>
      <c r="D9" s="7">
        <f t="shared" si="4"/>
        <v>97.5</v>
      </c>
      <c r="E9" s="24" t="s">
        <v>50</v>
      </c>
      <c r="F9" s="12">
        <v>95</v>
      </c>
      <c r="G9" s="12">
        <v>100</v>
      </c>
      <c r="H9" s="27">
        <f t="shared" si="5"/>
        <v>97.5</v>
      </c>
      <c r="I9" s="24" t="s">
        <v>19</v>
      </c>
      <c r="J9" s="3">
        <v>80</v>
      </c>
      <c r="K9" s="3">
        <v>85</v>
      </c>
      <c r="L9" s="7">
        <f t="shared" si="0"/>
        <v>82.5</v>
      </c>
      <c r="M9" s="24" t="s">
        <v>38</v>
      </c>
      <c r="N9" s="8">
        <v>95</v>
      </c>
      <c r="O9" s="8">
        <v>100</v>
      </c>
      <c r="P9" s="8">
        <f t="shared" si="7"/>
        <v>97.5</v>
      </c>
      <c r="Q9" s="9" t="s">
        <v>88</v>
      </c>
      <c r="R9" s="7">
        <v>90</v>
      </c>
      <c r="S9" s="7">
        <v>95</v>
      </c>
      <c r="T9" s="7">
        <f t="shared" si="2"/>
        <v>92.5</v>
      </c>
      <c r="U9" s="33" t="s">
        <v>11</v>
      </c>
      <c r="V9" s="3"/>
      <c r="W9" s="3"/>
      <c r="X9" s="3">
        <v>100</v>
      </c>
      <c r="Y9" s="9" t="s">
        <v>38</v>
      </c>
      <c r="Z9" s="7"/>
      <c r="AA9" s="7"/>
      <c r="AB9" s="7">
        <v>80</v>
      </c>
      <c r="AC9" s="24" t="s">
        <v>94</v>
      </c>
      <c r="AD9" s="8"/>
      <c r="AE9" s="8"/>
      <c r="AF9" s="3">
        <v>100</v>
      </c>
      <c r="AG9" s="9" t="s">
        <v>38</v>
      </c>
      <c r="AH9" s="3"/>
      <c r="AI9" s="3"/>
      <c r="AJ9" s="3">
        <v>90</v>
      </c>
      <c r="AK9" s="38" t="s">
        <v>11</v>
      </c>
      <c r="AL9" s="3"/>
      <c r="AM9" s="3"/>
      <c r="AN9" s="3">
        <v>0</v>
      </c>
      <c r="AO9" s="8" t="s">
        <v>10</v>
      </c>
      <c r="AR9" s="18" t="s">
        <v>1</v>
      </c>
      <c r="AS9" s="21">
        <f>T15</f>
        <v>90.5</v>
      </c>
      <c r="AT9" s="21">
        <f t="shared" si="6"/>
        <v>82.222222222222229</v>
      </c>
    </row>
    <row r="10" spans="1:47" s="10" customFormat="1" ht="18.75" x14ac:dyDescent="0.3">
      <c r="A10" s="17" t="s">
        <v>2</v>
      </c>
      <c r="B10" s="3">
        <v>95</v>
      </c>
      <c r="C10" s="3">
        <v>100</v>
      </c>
      <c r="D10" s="7">
        <f t="shared" si="4"/>
        <v>97.5</v>
      </c>
      <c r="E10" s="24" t="s">
        <v>50</v>
      </c>
      <c r="F10" s="12"/>
      <c r="G10" s="12"/>
      <c r="H10" s="27">
        <v>100</v>
      </c>
      <c r="I10" s="24" t="s">
        <v>57</v>
      </c>
      <c r="J10" s="3">
        <v>95</v>
      </c>
      <c r="K10" s="3">
        <v>98</v>
      </c>
      <c r="L10" s="7">
        <f t="shared" si="0"/>
        <v>96.5</v>
      </c>
      <c r="M10" s="24" t="s">
        <v>38</v>
      </c>
      <c r="N10" s="8">
        <v>99</v>
      </c>
      <c r="O10" s="8">
        <v>100</v>
      </c>
      <c r="P10" s="8">
        <f t="shared" si="7"/>
        <v>99.5</v>
      </c>
      <c r="Q10" s="9" t="s">
        <v>96</v>
      </c>
      <c r="R10" s="7">
        <v>90</v>
      </c>
      <c r="S10" s="7">
        <v>95</v>
      </c>
      <c r="T10" s="7">
        <f t="shared" si="2"/>
        <v>92.5</v>
      </c>
      <c r="U10" s="33" t="s">
        <v>11</v>
      </c>
      <c r="V10" s="3"/>
      <c r="W10" s="3"/>
      <c r="X10" s="3">
        <v>100</v>
      </c>
      <c r="Y10" s="9" t="s">
        <v>38</v>
      </c>
      <c r="Z10" s="3"/>
      <c r="AA10" s="3"/>
      <c r="AB10" s="7">
        <v>90</v>
      </c>
      <c r="AC10" s="24" t="s">
        <v>94</v>
      </c>
      <c r="AD10" s="8"/>
      <c r="AE10" s="8"/>
      <c r="AF10" s="3">
        <v>100</v>
      </c>
      <c r="AG10" s="9" t="s">
        <v>38</v>
      </c>
      <c r="AH10" s="3"/>
      <c r="AI10" s="3"/>
      <c r="AJ10" s="3">
        <v>100</v>
      </c>
      <c r="AK10" s="38" t="s">
        <v>98</v>
      </c>
      <c r="AL10" s="3"/>
      <c r="AM10" s="3"/>
      <c r="AN10" s="3">
        <v>5</v>
      </c>
      <c r="AO10" s="8" t="s">
        <v>10</v>
      </c>
      <c r="AR10" s="18" t="s">
        <v>2</v>
      </c>
      <c r="AS10" s="21">
        <f>X15</f>
        <v>100</v>
      </c>
      <c r="AT10" s="21">
        <f t="shared" si="6"/>
        <v>86.833333333333329</v>
      </c>
    </row>
    <row r="11" spans="1:47" s="10" customFormat="1" ht="18.75" customHeight="1" x14ac:dyDescent="0.3">
      <c r="A11" s="17" t="s">
        <v>3</v>
      </c>
      <c r="B11" s="3">
        <v>90</v>
      </c>
      <c r="C11" s="3">
        <v>95</v>
      </c>
      <c r="D11" s="7">
        <f t="shared" si="4"/>
        <v>92.5</v>
      </c>
      <c r="E11" s="24" t="s">
        <v>95</v>
      </c>
      <c r="F11" s="12"/>
      <c r="G11" s="12"/>
      <c r="H11" s="27">
        <v>100</v>
      </c>
      <c r="I11" s="24" t="s">
        <v>57</v>
      </c>
      <c r="J11" s="3">
        <v>90</v>
      </c>
      <c r="K11" s="3">
        <v>95</v>
      </c>
      <c r="L11" s="7">
        <f t="shared" si="0"/>
        <v>92.5</v>
      </c>
      <c r="M11" s="24" t="s">
        <v>38</v>
      </c>
      <c r="N11" s="8">
        <v>99</v>
      </c>
      <c r="O11" s="8">
        <v>100</v>
      </c>
      <c r="P11" s="8">
        <f t="shared" si="7"/>
        <v>99.5</v>
      </c>
      <c r="Q11" s="9" t="s">
        <v>96</v>
      </c>
      <c r="R11" s="7">
        <v>90</v>
      </c>
      <c r="S11" s="7">
        <v>95</v>
      </c>
      <c r="T11" s="7">
        <f t="shared" si="2"/>
        <v>92.5</v>
      </c>
      <c r="U11" s="33" t="s">
        <v>51</v>
      </c>
      <c r="V11" s="3"/>
      <c r="W11" s="3"/>
      <c r="X11" s="3">
        <v>100</v>
      </c>
      <c r="Y11" s="9" t="s">
        <v>38</v>
      </c>
      <c r="Z11" s="3"/>
      <c r="AA11" s="3"/>
      <c r="AB11" s="7">
        <v>95</v>
      </c>
      <c r="AC11" s="24" t="s">
        <v>97</v>
      </c>
      <c r="AD11" s="8"/>
      <c r="AE11" s="8"/>
      <c r="AF11" s="3">
        <v>100</v>
      </c>
      <c r="AG11" s="9" t="s">
        <v>38</v>
      </c>
      <c r="AH11" s="3"/>
      <c r="AI11" s="3"/>
      <c r="AJ11" s="3">
        <v>100</v>
      </c>
      <c r="AK11" s="9" t="s">
        <v>38</v>
      </c>
      <c r="AL11" s="3"/>
      <c r="AM11" s="3"/>
      <c r="AN11" s="3">
        <v>10</v>
      </c>
      <c r="AO11" s="8" t="s">
        <v>10</v>
      </c>
      <c r="AR11" s="18" t="s">
        <v>3</v>
      </c>
      <c r="AS11" s="32">
        <f>AB15</f>
        <v>87</v>
      </c>
      <c r="AT11" s="21">
        <f t="shared" si="6"/>
        <v>86.944444444444443</v>
      </c>
      <c r="AU11" s="4"/>
    </row>
    <row r="12" spans="1:47" s="10" customFormat="1" ht="20.25" customHeight="1" x14ac:dyDescent="0.3">
      <c r="A12" s="17" t="s">
        <v>4</v>
      </c>
      <c r="B12" s="3">
        <v>90</v>
      </c>
      <c r="C12" s="3">
        <v>95</v>
      </c>
      <c r="D12" s="7">
        <f t="shared" si="4"/>
        <v>92.5</v>
      </c>
      <c r="E12" s="24" t="s">
        <v>95</v>
      </c>
      <c r="F12" s="12">
        <v>99</v>
      </c>
      <c r="G12" s="12">
        <v>100</v>
      </c>
      <c r="H12" s="27">
        <f t="shared" si="5"/>
        <v>99.5</v>
      </c>
      <c r="I12" s="24" t="s">
        <v>57</v>
      </c>
      <c r="J12" s="3">
        <v>75</v>
      </c>
      <c r="K12" s="3">
        <v>85</v>
      </c>
      <c r="L12" s="7">
        <f t="shared" si="0"/>
        <v>80</v>
      </c>
      <c r="M12" s="24" t="s">
        <v>38</v>
      </c>
      <c r="N12" s="8">
        <v>98</v>
      </c>
      <c r="O12" s="8">
        <v>100</v>
      </c>
      <c r="P12" s="8">
        <f t="shared" si="7"/>
        <v>99</v>
      </c>
      <c r="Q12" s="9" t="s">
        <v>96</v>
      </c>
      <c r="R12" s="7">
        <v>90</v>
      </c>
      <c r="S12" s="7">
        <v>95</v>
      </c>
      <c r="T12" s="7">
        <f>AVERAGE(R12:S12)</f>
        <v>92.5</v>
      </c>
      <c r="U12" s="33" t="s">
        <v>51</v>
      </c>
      <c r="V12" s="3"/>
      <c r="W12" s="3"/>
      <c r="X12" s="3">
        <v>100</v>
      </c>
      <c r="Y12" s="9" t="s">
        <v>38</v>
      </c>
      <c r="Z12" s="3"/>
      <c r="AA12" s="3"/>
      <c r="AB12" s="7">
        <v>85</v>
      </c>
      <c r="AC12" s="24" t="s">
        <v>94</v>
      </c>
      <c r="AD12" s="8"/>
      <c r="AE12" s="8"/>
      <c r="AF12" s="3">
        <v>100</v>
      </c>
      <c r="AG12" s="9" t="s">
        <v>38</v>
      </c>
      <c r="AH12" s="3"/>
      <c r="AI12" s="3"/>
      <c r="AJ12" s="3">
        <v>100</v>
      </c>
      <c r="AK12" s="38" t="s">
        <v>38</v>
      </c>
      <c r="AL12" s="3"/>
      <c r="AM12" s="3"/>
      <c r="AN12" s="3">
        <v>15</v>
      </c>
      <c r="AO12" s="8" t="s">
        <v>10</v>
      </c>
      <c r="AR12" s="18" t="s">
        <v>4</v>
      </c>
      <c r="AS12" s="21">
        <f>AF15</f>
        <v>100</v>
      </c>
      <c r="AT12" s="21">
        <f t="shared" si="6"/>
        <v>84.944444444444443</v>
      </c>
    </row>
    <row r="13" spans="1:47" s="10" customFormat="1" ht="21" customHeight="1" x14ac:dyDescent="0.3">
      <c r="A13" s="17" t="s">
        <v>5</v>
      </c>
      <c r="B13" s="3">
        <v>90</v>
      </c>
      <c r="C13" s="3">
        <v>95</v>
      </c>
      <c r="D13" s="7">
        <f t="shared" si="4"/>
        <v>92.5</v>
      </c>
      <c r="E13" s="24" t="s">
        <v>50</v>
      </c>
      <c r="F13" s="12"/>
      <c r="G13" s="12"/>
      <c r="H13" s="27">
        <v>100</v>
      </c>
      <c r="I13" s="24" t="s">
        <v>57</v>
      </c>
      <c r="J13" s="3">
        <v>60</v>
      </c>
      <c r="K13" s="3">
        <v>70</v>
      </c>
      <c r="L13" s="7">
        <f t="shared" si="0"/>
        <v>65</v>
      </c>
      <c r="M13" s="24" t="s">
        <v>99</v>
      </c>
      <c r="N13" s="11">
        <v>99</v>
      </c>
      <c r="O13" s="11">
        <v>100</v>
      </c>
      <c r="P13" s="8">
        <f>AVERAGE(N13:O13)</f>
        <v>99.5</v>
      </c>
      <c r="Q13" s="9" t="s">
        <v>96</v>
      </c>
      <c r="R13" s="7">
        <v>90</v>
      </c>
      <c r="S13" s="7">
        <v>95</v>
      </c>
      <c r="T13" s="7">
        <f>AVERAGE(R13:S13)</f>
        <v>92.5</v>
      </c>
      <c r="U13" s="33" t="s">
        <v>51</v>
      </c>
      <c r="V13" s="3"/>
      <c r="W13" s="3"/>
      <c r="X13" s="3">
        <v>100</v>
      </c>
      <c r="Y13" s="9" t="s">
        <v>38</v>
      </c>
      <c r="Z13" s="3"/>
      <c r="AA13" s="3"/>
      <c r="AB13" s="7">
        <v>90</v>
      </c>
      <c r="AC13" s="24" t="s">
        <v>93</v>
      </c>
      <c r="AD13" s="8"/>
      <c r="AE13" s="8"/>
      <c r="AF13" s="3">
        <v>100</v>
      </c>
      <c r="AG13" s="9" t="s">
        <v>38</v>
      </c>
      <c r="AH13" s="3"/>
      <c r="AI13" s="3"/>
      <c r="AJ13" s="3">
        <v>100</v>
      </c>
      <c r="AK13" s="9" t="s">
        <v>38</v>
      </c>
      <c r="AL13" s="3"/>
      <c r="AM13" s="3"/>
      <c r="AN13" s="3">
        <v>12</v>
      </c>
      <c r="AO13" s="8" t="s">
        <v>10</v>
      </c>
      <c r="AR13" s="18" t="s">
        <v>5</v>
      </c>
      <c r="AS13" s="21">
        <f>AJ15</f>
        <v>95.5</v>
      </c>
      <c r="AT13" s="21">
        <f t="shared" si="6"/>
        <v>83.555555555555557</v>
      </c>
    </row>
    <row r="14" spans="1:47" s="10" customFormat="1" ht="19.5" customHeight="1" x14ac:dyDescent="0.3">
      <c r="A14" s="17" t="s">
        <v>6</v>
      </c>
      <c r="B14" s="3">
        <v>90</v>
      </c>
      <c r="C14" s="3">
        <v>95</v>
      </c>
      <c r="D14" s="7">
        <f t="shared" si="4"/>
        <v>92.5</v>
      </c>
      <c r="E14" s="24" t="s">
        <v>95</v>
      </c>
      <c r="F14" s="12"/>
      <c r="G14" s="12"/>
      <c r="H14" s="27">
        <v>100</v>
      </c>
      <c r="I14" s="24" t="s">
        <v>57</v>
      </c>
      <c r="J14" s="3">
        <v>85</v>
      </c>
      <c r="K14" s="3">
        <v>90</v>
      </c>
      <c r="L14" s="3">
        <f t="shared" si="0"/>
        <v>87.5</v>
      </c>
      <c r="M14" s="24" t="s">
        <v>38</v>
      </c>
      <c r="N14" s="8">
        <v>98</v>
      </c>
      <c r="O14" s="8">
        <v>100</v>
      </c>
      <c r="P14" s="8">
        <f t="shared" si="7"/>
        <v>99</v>
      </c>
      <c r="Q14" s="9" t="s">
        <v>96</v>
      </c>
      <c r="R14" s="3">
        <v>90</v>
      </c>
      <c r="S14" s="3">
        <v>95</v>
      </c>
      <c r="T14" s="7">
        <f>AVERAGE(R14:S14)</f>
        <v>92.5</v>
      </c>
      <c r="U14" s="33" t="s">
        <v>51</v>
      </c>
      <c r="V14" s="3"/>
      <c r="W14" s="3"/>
      <c r="X14" s="3">
        <v>100</v>
      </c>
      <c r="Y14" s="9" t="s">
        <v>38</v>
      </c>
      <c r="Z14" s="3"/>
      <c r="AA14" s="3"/>
      <c r="AB14" s="7">
        <v>80</v>
      </c>
      <c r="AC14" s="24" t="s">
        <v>94</v>
      </c>
      <c r="AD14" s="8"/>
      <c r="AE14" s="8"/>
      <c r="AF14" s="3">
        <v>100</v>
      </c>
      <c r="AG14" s="9" t="s">
        <v>38</v>
      </c>
      <c r="AH14" s="3"/>
      <c r="AI14" s="3"/>
      <c r="AJ14" s="3">
        <v>100</v>
      </c>
      <c r="AK14" s="38" t="s">
        <v>38</v>
      </c>
      <c r="AL14" s="3"/>
      <c r="AM14" s="3"/>
      <c r="AN14" s="3">
        <v>10</v>
      </c>
      <c r="AO14" s="8" t="s">
        <v>10</v>
      </c>
      <c r="AR14" s="18" t="s">
        <v>6</v>
      </c>
      <c r="AS14" s="21">
        <f>AN15</f>
        <v>5.2</v>
      </c>
      <c r="AT14" s="21">
        <f t="shared" si="6"/>
        <v>84.722222222222229</v>
      </c>
    </row>
    <row r="15" spans="1:47" ht="18.75" x14ac:dyDescent="0.3">
      <c r="A15" s="19" t="s">
        <v>33</v>
      </c>
      <c r="B15" s="19"/>
      <c r="C15" s="19"/>
      <c r="D15" s="19">
        <f>AVERAGE(D5:D14)</f>
        <v>94.25</v>
      </c>
      <c r="E15" s="19"/>
      <c r="F15" s="19"/>
      <c r="G15" s="19"/>
      <c r="H15" s="40">
        <f t="shared" ref="H15:AN15" si="8">AVERAGE(H5:H14)</f>
        <v>98.65</v>
      </c>
      <c r="I15" s="19"/>
      <c r="J15" s="19"/>
      <c r="K15" s="19"/>
      <c r="L15" s="19">
        <f t="shared" si="8"/>
        <v>85.55</v>
      </c>
      <c r="M15" s="19"/>
      <c r="N15" s="19"/>
      <c r="O15" s="19"/>
      <c r="P15" s="19">
        <f>AVERAGE(P5:P14)</f>
        <v>98.3</v>
      </c>
      <c r="Q15" s="19"/>
      <c r="R15" s="19"/>
      <c r="S15" s="19"/>
      <c r="T15" s="19">
        <f t="shared" si="8"/>
        <v>90.5</v>
      </c>
      <c r="U15" s="19"/>
      <c r="V15" s="19"/>
      <c r="W15" s="19"/>
      <c r="X15" s="19">
        <f t="shared" si="8"/>
        <v>100</v>
      </c>
      <c r="Y15" s="19"/>
      <c r="Z15" s="19"/>
      <c r="AA15" s="19"/>
      <c r="AB15" s="35">
        <f t="shared" si="8"/>
        <v>87</v>
      </c>
      <c r="AC15" s="19"/>
      <c r="AD15" s="19"/>
      <c r="AE15" s="19"/>
      <c r="AF15" s="19">
        <f t="shared" si="8"/>
        <v>100</v>
      </c>
      <c r="AG15" s="19"/>
      <c r="AH15" s="19"/>
      <c r="AI15" s="19"/>
      <c r="AJ15" s="35">
        <f t="shared" si="8"/>
        <v>95.5</v>
      </c>
      <c r="AK15" s="19"/>
      <c r="AL15" s="19"/>
      <c r="AM15" s="19"/>
      <c r="AN15" s="19">
        <f t="shared" si="8"/>
        <v>5.2</v>
      </c>
      <c r="AO15" s="19"/>
    </row>
    <row r="16" spans="1:47" x14ac:dyDescent="0.25">
      <c r="AL16" s="2"/>
      <c r="AM16" s="2"/>
      <c r="AN16" s="2"/>
    </row>
    <row r="25" spans="44:45" x14ac:dyDescent="0.25">
      <c r="AR25" s="37" t="s">
        <v>7</v>
      </c>
      <c r="AS25" s="22" t="s">
        <v>34</v>
      </c>
    </row>
    <row r="26" spans="44:45" x14ac:dyDescent="0.25">
      <c r="AR26" t="s">
        <v>6</v>
      </c>
      <c r="AS26" s="22">
        <v>5.2</v>
      </c>
    </row>
    <row r="27" spans="44:45" x14ac:dyDescent="0.25">
      <c r="AR27" t="s">
        <v>0</v>
      </c>
      <c r="AS27" s="22">
        <v>85.55</v>
      </c>
    </row>
    <row r="28" spans="44:45" x14ac:dyDescent="0.25">
      <c r="AR28" t="s">
        <v>3</v>
      </c>
      <c r="AS28" s="39">
        <v>87</v>
      </c>
    </row>
    <row r="29" spans="44:45" x14ac:dyDescent="0.25">
      <c r="AR29" t="s">
        <v>1</v>
      </c>
      <c r="AS29" s="22">
        <v>90.5</v>
      </c>
    </row>
    <row r="30" spans="44:45" x14ac:dyDescent="0.25">
      <c r="AR30" t="s">
        <v>25</v>
      </c>
      <c r="AS30" s="22">
        <v>94.25</v>
      </c>
    </row>
    <row r="31" spans="44:45" x14ac:dyDescent="0.25">
      <c r="AR31" t="s">
        <v>5</v>
      </c>
      <c r="AS31" s="22">
        <v>95.5</v>
      </c>
    </row>
    <row r="32" spans="44:45" x14ac:dyDescent="0.25">
      <c r="AR32" t="s">
        <v>117</v>
      </c>
      <c r="AS32" s="22">
        <v>98.3</v>
      </c>
    </row>
    <row r="33" spans="44:45" x14ac:dyDescent="0.25">
      <c r="AR33" t="s">
        <v>30</v>
      </c>
      <c r="AS33" s="22">
        <v>98.65</v>
      </c>
    </row>
    <row r="34" spans="44:45" x14ac:dyDescent="0.25">
      <c r="AR34" t="s">
        <v>2</v>
      </c>
      <c r="AS34" s="39">
        <v>100</v>
      </c>
    </row>
    <row r="35" spans="44:45" x14ac:dyDescent="0.25">
      <c r="AR35" t="s">
        <v>4</v>
      </c>
      <c r="AS35" s="39">
        <v>100</v>
      </c>
    </row>
    <row r="36" spans="44:45" x14ac:dyDescent="0.25">
      <c r="AR36" s="37"/>
    </row>
    <row r="37" spans="44:45" x14ac:dyDescent="0.25">
      <c r="AR37" s="37"/>
    </row>
    <row r="38" spans="44:45" x14ac:dyDescent="0.25">
      <c r="AR38" s="37"/>
    </row>
    <row r="39" spans="44:45" x14ac:dyDescent="0.25">
      <c r="AR39" s="37" t="s">
        <v>7</v>
      </c>
      <c r="AS39" s="22" t="s">
        <v>35</v>
      </c>
    </row>
    <row r="40" spans="44:45" x14ac:dyDescent="0.25">
      <c r="AR40" t="s">
        <v>30</v>
      </c>
      <c r="AS40" s="22">
        <v>80.555555555555557</v>
      </c>
    </row>
    <row r="41" spans="44:45" x14ac:dyDescent="0.25">
      <c r="AR41" t="s">
        <v>1</v>
      </c>
      <c r="AS41" s="22">
        <v>82.222222222222229</v>
      </c>
    </row>
    <row r="42" spans="44:45" x14ac:dyDescent="0.25">
      <c r="AR42" t="s">
        <v>25</v>
      </c>
      <c r="AS42" s="22">
        <v>82.5</v>
      </c>
    </row>
    <row r="43" spans="44:45" x14ac:dyDescent="0.25">
      <c r="AR43" t="s">
        <v>0</v>
      </c>
      <c r="AS43" s="22">
        <v>82.777777777777771</v>
      </c>
    </row>
    <row r="44" spans="44:45" x14ac:dyDescent="0.25">
      <c r="AR44" t="s">
        <v>5</v>
      </c>
      <c r="AS44" s="22">
        <v>83.555555555555557</v>
      </c>
    </row>
    <row r="45" spans="44:45" x14ac:dyDescent="0.25">
      <c r="AR45" t="s">
        <v>6</v>
      </c>
      <c r="AS45" s="22">
        <v>84.722222222222229</v>
      </c>
    </row>
    <row r="46" spans="44:45" x14ac:dyDescent="0.25">
      <c r="AR46" t="s">
        <v>4</v>
      </c>
      <c r="AS46" s="22">
        <v>84.944444444444443</v>
      </c>
    </row>
    <row r="47" spans="44:45" x14ac:dyDescent="0.25">
      <c r="AR47" t="s">
        <v>117</v>
      </c>
      <c r="AS47" s="22">
        <v>85.666666666666671</v>
      </c>
    </row>
    <row r="48" spans="44:45" x14ac:dyDescent="0.25">
      <c r="AR48" t="s">
        <v>2</v>
      </c>
      <c r="AS48" s="22">
        <v>86.833333333333329</v>
      </c>
    </row>
    <row r="49" spans="44:45" x14ac:dyDescent="0.25">
      <c r="AR49" t="s">
        <v>3</v>
      </c>
      <c r="AS49" s="22">
        <v>86.944444444444443</v>
      </c>
    </row>
    <row r="58" spans="44:45" x14ac:dyDescent="0.25">
      <c r="AS58"/>
    </row>
    <row r="59" spans="44:45" x14ac:dyDescent="0.25">
      <c r="AS59"/>
    </row>
    <row r="60" spans="44:45" x14ac:dyDescent="0.25">
      <c r="AS60"/>
    </row>
    <row r="61" spans="44:45" x14ac:dyDescent="0.25">
      <c r="AS61"/>
    </row>
    <row r="62" spans="44:45" x14ac:dyDescent="0.25">
      <c r="AS62"/>
    </row>
    <row r="63" spans="44:45" x14ac:dyDescent="0.25">
      <c r="AS63"/>
    </row>
    <row r="64" spans="44:45" x14ac:dyDescent="0.25">
      <c r="AS64"/>
    </row>
    <row r="65" spans="45:45" x14ac:dyDescent="0.25">
      <c r="AS65"/>
    </row>
    <row r="66" spans="45:45" x14ac:dyDescent="0.25">
      <c r="AS66"/>
    </row>
    <row r="67" spans="45:45" x14ac:dyDescent="0.25">
      <c r="AS67"/>
    </row>
  </sheetData>
  <mergeCells count="11">
    <mergeCell ref="AL3:AO3"/>
    <mergeCell ref="B2:AO2"/>
    <mergeCell ref="B3:E3"/>
    <mergeCell ref="F3:I3"/>
    <mergeCell ref="J3:M3"/>
    <mergeCell ref="N3:Q3"/>
    <mergeCell ref="R3:U3"/>
    <mergeCell ref="V3:Y3"/>
    <mergeCell ref="Z3:AC3"/>
    <mergeCell ref="AD3:AG3"/>
    <mergeCell ref="AH3:AK3"/>
  </mergeCells>
  <phoneticPr fontId="11" type="noConversion"/>
  <pageMargins left="0.7" right="0.7" top="0.75" bottom="0.75" header="0.3" footer="0.3"/>
  <pageSetup paperSize="8" scale="5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61B5D-2EC6-4768-9F8B-03238574D4C0}">
  <sheetPr>
    <pageSetUpPr fitToPage="1"/>
  </sheetPr>
  <dimension ref="A2:AU67"/>
  <sheetViews>
    <sheetView topLeftCell="AC1" zoomScale="70" zoomScaleNormal="70" workbookViewId="0">
      <selection activeCell="AK5" sqref="AK5:AK14"/>
    </sheetView>
  </sheetViews>
  <sheetFormatPr defaultRowHeight="15" x14ac:dyDescent="0.25"/>
  <cols>
    <col min="1" max="1" width="26.7109375" bestFit="1" customWidth="1"/>
    <col min="2" max="3" width="8.5703125" bestFit="1" customWidth="1"/>
    <col min="4" max="4" width="10" bestFit="1" customWidth="1"/>
    <col min="5" max="5" width="25.7109375" bestFit="1" customWidth="1"/>
    <col min="7" max="7" width="9.5703125" customWidth="1"/>
    <col min="8" max="8" width="10" style="30" customWidth="1"/>
    <col min="9" max="9" width="21.7109375" bestFit="1" customWidth="1"/>
    <col min="10" max="10" width="10.140625" customWidth="1"/>
    <col min="11" max="11" width="12.85546875" customWidth="1"/>
    <col min="12" max="12" width="11.140625" customWidth="1"/>
    <col min="13" max="13" width="23.5703125" customWidth="1"/>
    <col min="14" max="14" width="10.85546875" customWidth="1"/>
    <col min="15" max="15" width="10.5703125" customWidth="1"/>
    <col min="16" max="16" width="10.42578125" customWidth="1"/>
    <col min="17" max="17" width="31.140625" bestFit="1" customWidth="1"/>
    <col min="18" max="18" width="8.5703125" customWidth="1"/>
    <col min="19" max="19" width="9.7109375" customWidth="1"/>
    <col min="20" max="20" width="10.5703125" customWidth="1"/>
    <col min="21" max="21" width="17.42578125" bestFit="1" customWidth="1"/>
    <col min="23" max="23" width="9.28515625" customWidth="1"/>
    <col min="24" max="24" width="9.85546875" customWidth="1"/>
    <col min="25" max="25" width="11" bestFit="1" customWidth="1"/>
    <col min="26" max="26" width="10.5703125" customWidth="1"/>
    <col min="27" max="27" width="11.85546875" customWidth="1"/>
    <col min="28" max="28" width="11" customWidth="1"/>
    <col min="29" max="29" width="21.140625" bestFit="1" customWidth="1"/>
    <col min="30" max="30" width="9" bestFit="1" customWidth="1"/>
    <col min="31" max="31" width="9" customWidth="1"/>
    <col min="32" max="32" width="10" bestFit="1" customWidth="1"/>
    <col min="33" max="33" width="17.42578125" bestFit="1" customWidth="1"/>
    <col min="34" max="34" width="10.140625" style="1" customWidth="1"/>
    <col min="35" max="35" width="9.7109375" style="1" customWidth="1"/>
    <col min="36" max="36" width="10.7109375" style="1" customWidth="1"/>
    <col min="37" max="37" width="34.140625" bestFit="1" customWidth="1"/>
    <col min="38" max="38" width="10" style="1" customWidth="1"/>
    <col min="39" max="39" width="10.42578125" style="1" customWidth="1"/>
    <col min="40" max="40" width="9.28515625" style="1" customWidth="1"/>
    <col min="41" max="41" width="20.7109375" customWidth="1"/>
    <col min="44" max="44" width="32.85546875"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31.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10" customFormat="1" ht="18.75" x14ac:dyDescent="0.3">
      <c r="A5" s="16" t="s">
        <v>25</v>
      </c>
      <c r="B5" s="7">
        <v>90</v>
      </c>
      <c r="C5" s="7">
        <v>100</v>
      </c>
      <c r="D5" s="7">
        <f>AVERAGE(B5:C5)</f>
        <v>95</v>
      </c>
      <c r="E5" s="24" t="s">
        <v>51</v>
      </c>
      <c r="F5" s="3"/>
      <c r="G5" s="3"/>
      <c r="H5" s="27">
        <v>100</v>
      </c>
      <c r="I5" s="24" t="s">
        <v>19</v>
      </c>
      <c r="J5" s="7">
        <v>85</v>
      </c>
      <c r="K5" s="7">
        <v>90</v>
      </c>
      <c r="L5" s="7">
        <f t="shared" ref="L5:L14" si="0">AVERAGE(J5:K5)</f>
        <v>87.5</v>
      </c>
      <c r="M5" s="8" t="s">
        <v>49</v>
      </c>
      <c r="N5" s="9">
        <v>95</v>
      </c>
      <c r="O5" s="9">
        <v>100</v>
      </c>
      <c r="P5" s="8">
        <f t="shared" ref="P5:P6" si="1">AVERAGE(N5:O5)</f>
        <v>97.5</v>
      </c>
      <c r="Q5" s="9" t="s">
        <v>84</v>
      </c>
      <c r="R5" s="7">
        <v>90</v>
      </c>
      <c r="S5" s="7">
        <v>95</v>
      </c>
      <c r="T5" s="7">
        <f t="shared" ref="T5:T12" si="2">AVERAGE(R5:S5)</f>
        <v>92.5</v>
      </c>
      <c r="U5" s="33" t="s">
        <v>38</v>
      </c>
      <c r="V5" s="7"/>
      <c r="W5" s="7"/>
      <c r="X5" s="7">
        <v>100</v>
      </c>
      <c r="Y5" s="9" t="s">
        <v>11</v>
      </c>
      <c r="Z5" s="7"/>
      <c r="AA5" s="7"/>
      <c r="AB5" s="7">
        <v>80</v>
      </c>
      <c r="AC5" s="24" t="s">
        <v>91</v>
      </c>
      <c r="AD5" s="9"/>
      <c r="AE5" s="9"/>
      <c r="AF5" s="7">
        <v>100</v>
      </c>
      <c r="AG5" s="8" t="s">
        <v>65</v>
      </c>
      <c r="AH5" s="7">
        <v>95</v>
      </c>
      <c r="AI5" s="7">
        <v>100</v>
      </c>
      <c r="AJ5" s="3">
        <f t="shared" ref="AJ5:AJ8" si="3">AVERAGE(AH5:AI5)</f>
        <v>97.5</v>
      </c>
      <c r="AK5" s="38" t="s">
        <v>100</v>
      </c>
      <c r="AL5" s="7">
        <v>60</v>
      </c>
      <c r="AM5" s="7">
        <v>70</v>
      </c>
      <c r="AN5" s="3">
        <f>AVERAGE(AL5:AM5)</f>
        <v>65</v>
      </c>
      <c r="AO5" s="8" t="s">
        <v>78</v>
      </c>
      <c r="AR5" s="18" t="s">
        <v>25</v>
      </c>
      <c r="AS5" s="21">
        <f>D15</f>
        <v>96</v>
      </c>
      <c r="AT5" s="21">
        <f>AVERAGE(D5,H5,L5,T5,X5,AB5,AF5,AJ5,AN5)</f>
        <v>90.833333333333329</v>
      </c>
    </row>
    <row r="6" spans="1:47" s="10" customFormat="1" ht="18.75" x14ac:dyDescent="0.3">
      <c r="A6" s="17" t="s">
        <v>30</v>
      </c>
      <c r="B6" s="3">
        <v>90</v>
      </c>
      <c r="C6" s="3">
        <v>100</v>
      </c>
      <c r="D6" s="7">
        <f t="shared" ref="D6:D14" si="4">AVERAGE(B6:C6)</f>
        <v>95</v>
      </c>
      <c r="E6" s="9" t="s">
        <v>84</v>
      </c>
      <c r="F6" s="12"/>
      <c r="G6" s="12"/>
      <c r="H6" s="28">
        <v>100</v>
      </c>
      <c r="I6" s="24" t="s">
        <v>57</v>
      </c>
      <c r="J6" s="3">
        <v>90</v>
      </c>
      <c r="K6" s="3">
        <v>95</v>
      </c>
      <c r="L6" s="7">
        <f t="shared" si="0"/>
        <v>92.5</v>
      </c>
      <c r="M6" s="8" t="s">
        <v>11</v>
      </c>
      <c r="N6" s="8">
        <v>90</v>
      </c>
      <c r="O6" s="8">
        <v>95</v>
      </c>
      <c r="P6" s="8">
        <f t="shared" si="1"/>
        <v>92.5</v>
      </c>
      <c r="Q6" s="9" t="s">
        <v>84</v>
      </c>
      <c r="R6" s="7">
        <v>90</v>
      </c>
      <c r="S6" s="7">
        <v>95</v>
      </c>
      <c r="T6" s="7">
        <f t="shared" si="2"/>
        <v>92.5</v>
      </c>
      <c r="U6" s="33" t="s">
        <v>38</v>
      </c>
      <c r="V6" s="3">
        <v>80</v>
      </c>
      <c r="W6" s="3">
        <v>90</v>
      </c>
      <c r="X6" s="36">
        <f t="shared" ref="X6" si="5">AVERAGE(V6:W6)</f>
        <v>85</v>
      </c>
      <c r="Y6" s="9" t="s">
        <v>11</v>
      </c>
      <c r="Z6" s="3"/>
      <c r="AA6" s="3"/>
      <c r="AB6" s="7">
        <v>90</v>
      </c>
      <c r="AC6" s="24" t="s">
        <v>85</v>
      </c>
      <c r="AD6" s="8"/>
      <c r="AE6" s="8"/>
      <c r="AF6" s="3">
        <v>100</v>
      </c>
      <c r="AG6" s="8" t="s">
        <v>65</v>
      </c>
      <c r="AH6" s="7">
        <v>90</v>
      </c>
      <c r="AI6" s="3">
        <v>95</v>
      </c>
      <c r="AJ6" s="3">
        <f t="shared" si="3"/>
        <v>92.5</v>
      </c>
      <c r="AK6" s="38" t="s">
        <v>11</v>
      </c>
      <c r="AL6" s="3">
        <v>40</v>
      </c>
      <c r="AM6" s="3">
        <v>50</v>
      </c>
      <c r="AN6" s="3">
        <f>AVERAGE(AL6:AM6)</f>
        <v>45</v>
      </c>
      <c r="AO6" s="8" t="s">
        <v>78</v>
      </c>
      <c r="AR6" s="18" t="s">
        <v>30</v>
      </c>
      <c r="AS6" s="21">
        <f>H15</f>
        <v>76</v>
      </c>
      <c r="AT6" s="21">
        <f t="shared" ref="AT6:AT14" si="6">AVERAGE(D6,H6,L6,T6,X6,AB6,AF6,AJ6,AN6)</f>
        <v>88.055555555555557</v>
      </c>
    </row>
    <row r="7" spans="1:47" s="10" customFormat="1" ht="18.75" x14ac:dyDescent="0.3">
      <c r="A7" s="17" t="s">
        <v>0</v>
      </c>
      <c r="B7" s="3">
        <v>95</v>
      </c>
      <c r="C7" s="3">
        <v>100</v>
      </c>
      <c r="D7" s="7">
        <f t="shared" si="4"/>
        <v>97.5</v>
      </c>
      <c r="E7" s="24" t="s">
        <v>51</v>
      </c>
      <c r="F7" s="12"/>
      <c r="G7" s="12"/>
      <c r="H7" s="28">
        <v>100</v>
      </c>
      <c r="I7" s="24" t="s">
        <v>57</v>
      </c>
      <c r="J7" s="3">
        <v>80</v>
      </c>
      <c r="K7" s="3">
        <v>85</v>
      </c>
      <c r="L7" s="7">
        <f t="shared" si="0"/>
        <v>82.5</v>
      </c>
      <c r="M7" s="8" t="s">
        <v>49</v>
      </c>
      <c r="N7" s="8">
        <v>10</v>
      </c>
      <c r="O7" s="8">
        <v>20</v>
      </c>
      <c r="P7" s="8">
        <f>AVERAGE(N7:O7)</f>
        <v>15</v>
      </c>
      <c r="Q7" s="9" t="s">
        <v>84</v>
      </c>
      <c r="R7" s="7">
        <v>90</v>
      </c>
      <c r="S7" s="7">
        <v>95</v>
      </c>
      <c r="T7" s="7">
        <f t="shared" si="2"/>
        <v>92.5</v>
      </c>
      <c r="U7" s="33" t="s">
        <v>51</v>
      </c>
      <c r="V7" s="3"/>
      <c r="W7" s="3"/>
      <c r="X7" s="36">
        <v>100</v>
      </c>
      <c r="Y7" s="9" t="s">
        <v>11</v>
      </c>
      <c r="Z7" s="3"/>
      <c r="AA7" s="3"/>
      <c r="AB7" s="7">
        <v>85</v>
      </c>
      <c r="AC7" s="24" t="s">
        <v>89</v>
      </c>
      <c r="AD7" s="8"/>
      <c r="AE7" s="8"/>
      <c r="AF7" s="3">
        <v>100</v>
      </c>
      <c r="AG7" s="8" t="s">
        <v>65</v>
      </c>
      <c r="AH7" s="7"/>
      <c r="AI7" s="3"/>
      <c r="AJ7" s="3">
        <v>100</v>
      </c>
      <c r="AK7" s="8" t="s">
        <v>65</v>
      </c>
      <c r="AL7" s="3">
        <v>30</v>
      </c>
      <c r="AM7" s="3">
        <v>40</v>
      </c>
      <c r="AN7" s="3">
        <f t="shared" ref="AN7:AN14" si="7">AVERAGE(AL7:AM7)</f>
        <v>35</v>
      </c>
      <c r="AO7" s="8" t="s">
        <v>78</v>
      </c>
      <c r="AR7" s="18" t="s">
        <v>0</v>
      </c>
      <c r="AS7" s="21">
        <f>L15</f>
        <v>72.25</v>
      </c>
      <c r="AT7" s="21">
        <f t="shared" si="6"/>
        <v>88.055555555555557</v>
      </c>
    </row>
    <row r="8" spans="1:47" s="10" customFormat="1" ht="18.75" customHeight="1" x14ac:dyDescent="0.3">
      <c r="A8" s="17" t="s">
        <v>117</v>
      </c>
      <c r="B8" s="3">
        <v>95</v>
      </c>
      <c r="C8" s="3">
        <v>100</v>
      </c>
      <c r="D8" s="7">
        <f t="shared" si="4"/>
        <v>97.5</v>
      </c>
      <c r="E8" s="24" t="s">
        <v>51</v>
      </c>
      <c r="F8" s="12"/>
      <c r="G8" s="12"/>
      <c r="H8" s="28">
        <v>100</v>
      </c>
      <c r="I8" s="24" t="s">
        <v>73</v>
      </c>
      <c r="J8" s="3">
        <v>95</v>
      </c>
      <c r="K8" s="3">
        <v>98</v>
      </c>
      <c r="L8" s="7">
        <f t="shared" si="0"/>
        <v>96.5</v>
      </c>
      <c r="M8" s="8" t="s">
        <v>38</v>
      </c>
      <c r="N8" s="8">
        <v>95</v>
      </c>
      <c r="O8" s="8">
        <v>100</v>
      </c>
      <c r="P8" s="8">
        <f t="shared" ref="P8:P14" si="8">AVERAGE(N8:O8)</f>
        <v>97.5</v>
      </c>
      <c r="Q8" s="9" t="s">
        <v>84</v>
      </c>
      <c r="R8" s="7">
        <v>85</v>
      </c>
      <c r="S8" s="7">
        <v>90</v>
      </c>
      <c r="T8" s="7">
        <f t="shared" si="2"/>
        <v>87.5</v>
      </c>
      <c r="U8" s="33" t="s">
        <v>51</v>
      </c>
      <c r="V8" s="3"/>
      <c r="W8" s="3"/>
      <c r="X8" s="36">
        <v>100</v>
      </c>
      <c r="Y8" s="9" t="s">
        <v>11</v>
      </c>
      <c r="Z8" s="3"/>
      <c r="AA8" s="3"/>
      <c r="AB8" s="7">
        <v>70</v>
      </c>
      <c r="AC8" s="24" t="s">
        <v>101</v>
      </c>
      <c r="AD8" s="8"/>
      <c r="AE8" s="8"/>
      <c r="AF8" s="3">
        <v>100</v>
      </c>
      <c r="AG8" s="8" t="s">
        <v>65</v>
      </c>
      <c r="AH8" s="3">
        <v>95</v>
      </c>
      <c r="AI8" s="3">
        <v>100</v>
      </c>
      <c r="AJ8" s="3">
        <f t="shared" si="3"/>
        <v>97.5</v>
      </c>
      <c r="AK8" s="38" t="s">
        <v>11</v>
      </c>
      <c r="AL8" s="3">
        <v>40</v>
      </c>
      <c r="AM8" s="3">
        <v>50</v>
      </c>
      <c r="AN8" s="3">
        <f t="shared" si="7"/>
        <v>45</v>
      </c>
      <c r="AO8" s="8" t="s">
        <v>78</v>
      </c>
      <c r="AR8" s="18" t="s">
        <v>117</v>
      </c>
      <c r="AS8" s="21">
        <f>P15</f>
        <v>69.900000000000006</v>
      </c>
      <c r="AT8" s="21">
        <f t="shared" si="6"/>
        <v>88.222222222222229</v>
      </c>
    </row>
    <row r="9" spans="1:47" s="10" customFormat="1" ht="18.75" x14ac:dyDescent="0.3">
      <c r="A9" s="17" t="s">
        <v>1</v>
      </c>
      <c r="B9" s="3">
        <v>90</v>
      </c>
      <c r="C9" s="3">
        <v>100</v>
      </c>
      <c r="D9" s="7">
        <f t="shared" si="4"/>
        <v>95</v>
      </c>
      <c r="E9" s="24" t="s">
        <v>51</v>
      </c>
      <c r="F9" s="12"/>
      <c r="G9" s="12"/>
      <c r="H9" s="28">
        <v>0</v>
      </c>
      <c r="I9" s="24" t="s">
        <v>10</v>
      </c>
      <c r="J9" s="3">
        <v>20</v>
      </c>
      <c r="K9" s="3">
        <v>25</v>
      </c>
      <c r="L9" s="7">
        <f t="shared" si="0"/>
        <v>22.5</v>
      </c>
      <c r="M9" s="8" t="s">
        <v>49</v>
      </c>
      <c r="N9" s="8">
        <v>90</v>
      </c>
      <c r="O9" s="8">
        <v>95</v>
      </c>
      <c r="P9" s="8">
        <f t="shared" si="8"/>
        <v>92.5</v>
      </c>
      <c r="Q9" s="9" t="s">
        <v>84</v>
      </c>
      <c r="R9" s="7">
        <v>88</v>
      </c>
      <c r="S9" s="7">
        <v>93</v>
      </c>
      <c r="T9" s="7">
        <f t="shared" si="2"/>
        <v>90.5</v>
      </c>
      <c r="U9" s="33" t="s">
        <v>11</v>
      </c>
      <c r="V9" s="3"/>
      <c r="W9" s="3"/>
      <c r="X9" s="3">
        <v>100</v>
      </c>
      <c r="Y9" s="9" t="s">
        <v>11</v>
      </c>
      <c r="Z9" s="7"/>
      <c r="AA9" s="7"/>
      <c r="AB9" s="7">
        <v>80</v>
      </c>
      <c r="AC9" s="24" t="s">
        <v>102</v>
      </c>
      <c r="AD9" s="8"/>
      <c r="AE9" s="8"/>
      <c r="AF9" s="3">
        <v>100</v>
      </c>
      <c r="AG9" s="8" t="s">
        <v>65</v>
      </c>
      <c r="AH9" s="3"/>
      <c r="AI9" s="3"/>
      <c r="AJ9" s="3">
        <v>100</v>
      </c>
      <c r="AK9" s="25" t="s">
        <v>11</v>
      </c>
      <c r="AL9" s="3">
        <v>50</v>
      </c>
      <c r="AM9" s="3">
        <v>60</v>
      </c>
      <c r="AN9" s="3">
        <f t="shared" si="7"/>
        <v>55</v>
      </c>
      <c r="AO9" s="8" t="s">
        <v>78</v>
      </c>
      <c r="AR9" s="18" t="s">
        <v>1</v>
      </c>
      <c r="AS9" s="21">
        <f>T15</f>
        <v>92.25</v>
      </c>
      <c r="AT9" s="21">
        <f t="shared" si="6"/>
        <v>71.444444444444443</v>
      </c>
    </row>
    <row r="10" spans="1:47" s="10" customFormat="1" ht="18.75" x14ac:dyDescent="0.3">
      <c r="A10" s="17" t="s">
        <v>2</v>
      </c>
      <c r="B10" s="3">
        <v>95</v>
      </c>
      <c r="C10" s="3">
        <v>100</v>
      </c>
      <c r="D10" s="7">
        <f t="shared" si="4"/>
        <v>97.5</v>
      </c>
      <c r="E10" s="8" t="s">
        <v>49</v>
      </c>
      <c r="F10" s="12"/>
      <c r="G10" s="12"/>
      <c r="H10" s="29">
        <v>100</v>
      </c>
      <c r="I10" s="24" t="s">
        <v>19</v>
      </c>
      <c r="J10" s="3">
        <v>92</v>
      </c>
      <c r="K10" s="3">
        <v>95</v>
      </c>
      <c r="L10" s="7">
        <f t="shared" si="0"/>
        <v>93.5</v>
      </c>
      <c r="M10" s="24" t="s">
        <v>38</v>
      </c>
      <c r="N10" s="8">
        <v>98</v>
      </c>
      <c r="O10" s="8">
        <v>100</v>
      </c>
      <c r="P10" s="8">
        <f t="shared" si="8"/>
        <v>99</v>
      </c>
      <c r="Q10" s="9" t="s">
        <v>84</v>
      </c>
      <c r="R10" s="7">
        <v>92</v>
      </c>
      <c r="S10" s="7">
        <v>96</v>
      </c>
      <c r="T10" s="7">
        <f t="shared" si="2"/>
        <v>94</v>
      </c>
      <c r="U10" s="33" t="s">
        <v>11</v>
      </c>
      <c r="V10" s="3"/>
      <c r="W10" s="3"/>
      <c r="X10" s="3">
        <v>100</v>
      </c>
      <c r="Y10" s="9" t="s">
        <v>11</v>
      </c>
      <c r="Z10" s="3"/>
      <c r="AA10" s="3"/>
      <c r="AB10" s="7">
        <v>80</v>
      </c>
      <c r="AC10" s="24" t="s">
        <v>55</v>
      </c>
      <c r="AD10" s="8"/>
      <c r="AE10" s="8"/>
      <c r="AF10" s="3">
        <v>100</v>
      </c>
      <c r="AG10" s="8" t="s">
        <v>65</v>
      </c>
      <c r="AH10" s="3"/>
      <c r="AI10" s="3"/>
      <c r="AJ10" s="3">
        <v>100</v>
      </c>
      <c r="AK10" s="8" t="s">
        <v>65</v>
      </c>
      <c r="AL10" s="3">
        <v>50</v>
      </c>
      <c r="AM10" s="3">
        <v>60</v>
      </c>
      <c r="AN10" s="3">
        <f t="shared" si="7"/>
        <v>55</v>
      </c>
      <c r="AO10" s="8" t="s">
        <v>78</v>
      </c>
      <c r="AR10" s="18" t="s">
        <v>2</v>
      </c>
      <c r="AS10" s="21">
        <f>X15</f>
        <v>98.5</v>
      </c>
      <c r="AT10" s="21">
        <f t="shared" si="6"/>
        <v>91.111111111111114</v>
      </c>
    </row>
    <row r="11" spans="1:47" s="10" customFormat="1" ht="18.75" customHeight="1" x14ac:dyDescent="0.3">
      <c r="A11" s="17" t="s">
        <v>3</v>
      </c>
      <c r="B11" s="3">
        <v>90</v>
      </c>
      <c r="C11" s="3">
        <v>100</v>
      </c>
      <c r="D11" s="7">
        <f t="shared" si="4"/>
        <v>95</v>
      </c>
      <c r="E11" s="8" t="s">
        <v>84</v>
      </c>
      <c r="F11" s="12"/>
      <c r="G11" s="12"/>
      <c r="H11" s="29">
        <v>100</v>
      </c>
      <c r="I11" s="24" t="s">
        <v>73</v>
      </c>
      <c r="J11" s="3">
        <v>90</v>
      </c>
      <c r="K11" s="3">
        <v>95</v>
      </c>
      <c r="L11" s="7">
        <f t="shared" si="0"/>
        <v>92.5</v>
      </c>
      <c r="M11" s="24" t="s">
        <v>38</v>
      </c>
      <c r="N11" s="8">
        <v>95</v>
      </c>
      <c r="O11" s="8">
        <v>100</v>
      </c>
      <c r="P11" s="8">
        <f t="shared" si="8"/>
        <v>97.5</v>
      </c>
      <c r="Q11" s="9" t="s">
        <v>84</v>
      </c>
      <c r="R11" s="7">
        <v>90</v>
      </c>
      <c r="S11" s="7">
        <v>94</v>
      </c>
      <c r="T11" s="7">
        <f t="shared" si="2"/>
        <v>92</v>
      </c>
      <c r="U11" s="33" t="s">
        <v>51</v>
      </c>
      <c r="V11" s="3"/>
      <c r="W11" s="3"/>
      <c r="X11" s="3">
        <v>100</v>
      </c>
      <c r="Y11" s="9" t="s">
        <v>11</v>
      </c>
      <c r="Z11" s="3"/>
      <c r="AA11" s="3"/>
      <c r="AB11" s="7">
        <v>90</v>
      </c>
      <c r="AC11" s="24" t="s">
        <v>46</v>
      </c>
      <c r="AD11" s="8"/>
      <c r="AE11" s="8"/>
      <c r="AF11" s="3">
        <v>100</v>
      </c>
      <c r="AG11" s="8" t="s">
        <v>65</v>
      </c>
      <c r="AH11" s="3"/>
      <c r="AI11" s="3"/>
      <c r="AJ11" s="3">
        <v>100</v>
      </c>
      <c r="AK11" s="38" t="s">
        <v>11</v>
      </c>
      <c r="AL11" s="3">
        <v>40</v>
      </c>
      <c r="AM11" s="3">
        <v>50</v>
      </c>
      <c r="AN11" s="3">
        <f t="shared" si="7"/>
        <v>45</v>
      </c>
      <c r="AO11" s="8" t="s">
        <v>78</v>
      </c>
      <c r="AR11" s="18" t="s">
        <v>3</v>
      </c>
      <c r="AS11" s="32">
        <f>AB15</f>
        <v>83</v>
      </c>
      <c r="AT11" s="21">
        <f t="shared" si="6"/>
        <v>90.5</v>
      </c>
      <c r="AU11" s="4"/>
    </row>
    <row r="12" spans="1:47" s="10" customFormat="1" ht="20.25" customHeight="1" x14ac:dyDescent="0.3">
      <c r="A12" s="17" t="s">
        <v>4</v>
      </c>
      <c r="B12" s="3">
        <v>90</v>
      </c>
      <c r="C12" s="3">
        <v>100</v>
      </c>
      <c r="D12" s="7">
        <f t="shared" si="4"/>
        <v>95</v>
      </c>
      <c r="E12" s="8" t="s">
        <v>50</v>
      </c>
      <c r="F12" s="12">
        <v>0</v>
      </c>
      <c r="G12" s="12">
        <v>20</v>
      </c>
      <c r="H12" s="29">
        <f>AVERAGE(F12:G12)</f>
        <v>10</v>
      </c>
      <c r="I12" s="24" t="s">
        <v>50</v>
      </c>
      <c r="J12" s="3">
        <v>25</v>
      </c>
      <c r="K12" s="3">
        <v>30</v>
      </c>
      <c r="L12" s="7">
        <f t="shared" si="0"/>
        <v>27.5</v>
      </c>
      <c r="M12" s="8" t="s">
        <v>10</v>
      </c>
      <c r="N12" s="8">
        <v>10</v>
      </c>
      <c r="O12" s="8">
        <v>15</v>
      </c>
      <c r="P12" s="8">
        <f t="shared" si="8"/>
        <v>12.5</v>
      </c>
      <c r="Q12" s="9" t="s">
        <v>10</v>
      </c>
      <c r="R12" s="7">
        <v>92</v>
      </c>
      <c r="S12" s="7">
        <v>95</v>
      </c>
      <c r="T12" s="7">
        <f t="shared" si="2"/>
        <v>93.5</v>
      </c>
      <c r="U12" s="33" t="s">
        <v>51</v>
      </c>
      <c r="V12" s="3"/>
      <c r="W12" s="3"/>
      <c r="X12" s="3">
        <v>100</v>
      </c>
      <c r="Y12" s="9" t="s">
        <v>11</v>
      </c>
      <c r="Z12" s="3"/>
      <c r="AA12" s="3"/>
      <c r="AB12" s="7">
        <v>85</v>
      </c>
      <c r="AC12" s="24" t="s">
        <v>89</v>
      </c>
      <c r="AD12" s="8"/>
      <c r="AE12" s="8"/>
      <c r="AF12" s="3">
        <v>100</v>
      </c>
      <c r="AG12" s="8" t="s">
        <v>65</v>
      </c>
      <c r="AH12" s="3"/>
      <c r="AI12" s="3"/>
      <c r="AJ12" s="3">
        <v>100</v>
      </c>
      <c r="AK12" s="25" t="s">
        <v>11</v>
      </c>
      <c r="AL12" s="3">
        <v>20</v>
      </c>
      <c r="AM12" s="3">
        <v>30</v>
      </c>
      <c r="AN12" s="3">
        <f t="shared" si="7"/>
        <v>25</v>
      </c>
      <c r="AO12" s="8" t="s">
        <v>78</v>
      </c>
      <c r="AR12" s="18" t="s">
        <v>4</v>
      </c>
      <c r="AS12" s="21">
        <f>AF15</f>
        <v>100</v>
      </c>
      <c r="AT12" s="21">
        <f t="shared" si="6"/>
        <v>70.666666666666671</v>
      </c>
    </row>
    <row r="13" spans="1:47" s="10" customFormat="1" ht="21" customHeight="1" x14ac:dyDescent="0.3">
      <c r="A13" s="17" t="s">
        <v>5</v>
      </c>
      <c r="B13" s="3">
        <v>95</v>
      </c>
      <c r="C13" s="3">
        <v>100</v>
      </c>
      <c r="D13" s="7">
        <f t="shared" si="4"/>
        <v>97.5</v>
      </c>
      <c r="E13" s="8" t="s">
        <v>50</v>
      </c>
      <c r="F13" s="12">
        <v>40</v>
      </c>
      <c r="G13" s="12">
        <v>60</v>
      </c>
      <c r="H13" s="29">
        <f>AVERAGE(F13:G13)</f>
        <v>50</v>
      </c>
      <c r="I13" s="24" t="s">
        <v>50</v>
      </c>
      <c r="J13" s="3"/>
      <c r="K13" s="3"/>
      <c r="L13" s="7">
        <v>40</v>
      </c>
      <c r="M13" s="8" t="s">
        <v>49</v>
      </c>
      <c r="N13" s="11">
        <v>5</v>
      </c>
      <c r="O13" s="11">
        <v>10</v>
      </c>
      <c r="P13" s="8">
        <f>AVERAGE(N13:O13)</f>
        <v>7.5</v>
      </c>
      <c r="Q13" s="9" t="s">
        <v>10</v>
      </c>
      <c r="R13" s="7">
        <v>93</v>
      </c>
      <c r="S13" s="7">
        <v>97</v>
      </c>
      <c r="T13" s="7">
        <f>AVERAGE(R13:S13)</f>
        <v>95</v>
      </c>
      <c r="U13" s="33" t="s">
        <v>51</v>
      </c>
      <c r="V13" s="3"/>
      <c r="W13" s="3"/>
      <c r="X13" s="3">
        <v>100</v>
      </c>
      <c r="Y13" s="9" t="s">
        <v>11</v>
      </c>
      <c r="Z13" s="3"/>
      <c r="AA13" s="3"/>
      <c r="AB13" s="7">
        <v>90</v>
      </c>
      <c r="AC13" s="24" t="s">
        <v>89</v>
      </c>
      <c r="AD13" s="8"/>
      <c r="AE13" s="8"/>
      <c r="AF13" s="3">
        <v>100</v>
      </c>
      <c r="AG13" s="8" t="s">
        <v>65</v>
      </c>
      <c r="AH13" s="3"/>
      <c r="AI13" s="3"/>
      <c r="AJ13" s="3">
        <v>100</v>
      </c>
      <c r="AK13" s="25" t="s">
        <v>11</v>
      </c>
      <c r="AL13" s="3">
        <v>10</v>
      </c>
      <c r="AM13" s="3">
        <v>20</v>
      </c>
      <c r="AN13" s="3">
        <f t="shared" si="7"/>
        <v>15</v>
      </c>
      <c r="AO13" s="8" t="s">
        <v>78</v>
      </c>
      <c r="AR13" s="18" t="s">
        <v>5</v>
      </c>
      <c r="AS13" s="21">
        <f>AJ15</f>
        <v>98.75</v>
      </c>
      <c r="AT13" s="21">
        <f t="shared" si="6"/>
        <v>76.388888888888886</v>
      </c>
    </row>
    <row r="14" spans="1:47" s="10" customFormat="1" ht="19.5" customHeight="1" x14ac:dyDescent="0.3">
      <c r="A14" s="17" t="s">
        <v>6</v>
      </c>
      <c r="B14" s="3">
        <v>90</v>
      </c>
      <c r="C14" s="3">
        <v>100</v>
      </c>
      <c r="D14" s="7">
        <f t="shared" si="4"/>
        <v>95</v>
      </c>
      <c r="E14" s="8" t="s">
        <v>50</v>
      </c>
      <c r="F14" s="12"/>
      <c r="G14" s="12"/>
      <c r="H14" s="29">
        <v>100</v>
      </c>
      <c r="I14" s="24" t="s">
        <v>73</v>
      </c>
      <c r="J14" s="3">
        <v>85</v>
      </c>
      <c r="K14" s="3">
        <v>90</v>
      </c>
      <c r="L14" s="3">
        <f t="shared" si="0"/>
        <v>87.5</v>
      </c>
      <c r="M14" s="24" t="s">
        <v>73</v>
      </c>
      <c r="N14" s="8">
        <v>85</v>
      </c>
      <c r="O14" s="8">
        <v>90</v>
      </c>
      <c r="P14" s="8">
        <f t="shared" si="8"/>
        <v>87.5</v>
      </c>
      <c r="Q14" s="9" t="s">
        <v>84</v>
      </c>
      <c r="R14" s="3">
        <v>90</v>
      </c>
      <c r="S14" s="3">
        <v>95</v>
      </c>
      <c r="T14" s="7">
        <f>AVERAGE(R14:S14)</f>
        <v>92.5</v>
      </c>
      <c r="U14" s="33" t="s">
        <v>51</v>
      </c>
      <c r="V14" s="3"/>
      <c r="W14" s="3"/>
      <c r="X14" s="3">
        <v>100</v>
      </c>
      <c r="Y14" s="9" t="s">
        <v>11</v>
      </c>
      <c r="Z14" s="3"/>
      <c r="AA14" s="3"/>
      <c r="AB14" s="7">
        <v>80</v>
      </c>
      <c r="AC14" s="24" t="s">
        <v>102</v>
      </c>
      <c r="AD14" s="8"/>
      <c r="AE14" s="8"/>
      <c r="AF14" s="3">
        <v>100</v>
      </c>
      <c r="AG14" s="8" t="s">
        <v>65</v>
      </c>
      <c r="AH14" s="3"/>
      <c r="AI14" s="3"/>
      <c r="AJ14" s="3">
        <v>100</v>
      </c>
      <c r="AK14" s="38" t="s">
        <v>8</v>
      </c>
      <c r="AL14" s="3">
        <v>20</v>
      </c>
      <c r="AM14" s="3">
        <v>30</v>
      </c>
      <c r="AN14" s="3">
        <f t="shared" si="7"/>
        <v>25</v>
      </c>
      <c r="AO14" s="8" t="s">
        <v>78</v>
      </c>
      <c r="AR14" s="18" t="s">
        <v>6</v>
      </c>
      <c r="AS14" s="21">
        <f>AN15</f>
        <v>41</v>
      </c>
      <c r="AT14" s="21">
        <f t="shared" si="6"/>
        <v>86.666666666666671</v>
      </c>
    </row>
    <row r="15" spans="1:47" ht="18.75" x14ac:dyDescent="0.3">
      <c r="A15" s="19" t="s">
        <v>33</v>
      </c>
      <c r="B15" s="19"/>
      <c r="C15" s="19"/>
      <c r="D15" s="19">
        <f>AVERAGE(D5:D14)</f>
        <v>96</v>
      </c>
      <c r="E15" s="19"/>
      <c r="F15" s="19"/>
      <c r="G15" s="19"/>
      <c r="H15" s="40">
        <f t="shared" ref="H15:AN15" si="9">AVERAGE(H5:H14)</f>
        <v>76</v>
      </c>
      <c r="I15" s="19"/>
      <c r="J15" s="19"/>
      <c r="K15" s="19"/>
      <c r="L15" s="19">
        <f t="shared" si="9"/>
        <v>72.25</v>
      </c>
      <c r="M15" s="19"/>
      <c r="N15" s="19"/>
      <c r="O15" s="19"/>
      <c r="P15" s="19">
        <f>AVERAGE(P5:P14)</f>
        <v>69.900000000000006</v>
      </c>
      <c r="Q15" s="19"/>
      <c r="R15" s="19"/>
      <c r="S15" s="19"/>
      <c r="T15" s="19">
        <f t="shared" si="9"/>
        <v>92.25</v>
      </c>
      <c r="U15" s="19"/>
      <c r="V15" s="19"/>
      <c r="W15" s="19"/>
      <c r="X15" s="19">
        <f t="shared" si="9"/>
        <v>98.5</v>
      </c>
      <c r="Y15" s="19"/>
      <c r="Z15" s="19"/>
      <c r="AA15" s="19"/>
      <c r="AB15" s="35">
        <f t="shared" si="9"/>
        <v>83</v>
      </c>
      <c r="AC15" s="19"/>
      <c r="AD15" s="19"/>
      <c r="AE15" s="19"/>
      <c r="AF15" s="19">
        <f t="shared" si="9"/>
        <v>100</v>
      </c>
      <c r="AG15" s="19"/>
      <c r="AH15" s="19"/>
      <c r="AI15" s="19"/>
      <c r="AJ15" s="35">
        <f t="shared" si="9"/>
        <v>98.75</v>
      </c>
      <c r="AK15" s="19"/>
      <c r="AL15" s="19"/>
      <c r="AM15" s="19"/>
      <c r="AN15" s="19">
        <f t="shared" si="9"/>
        <v>41</v>
      </c>
      <c r="AO15" s="19"/>
    </row>
    <row r="16" spans="1:47" x14ac:dyDescent="0.25">
      <c r="AL16" s="2"/>
      <c r="AM16" s="2"/>
      <c r="AN16" s="2"/>
    </row>
    <row r="25" spans="44:45" x14ac:dyDescent="0.25">
      <c r="AR25" s="37" t="s">
        <v>7</v>
      </c>
      <c r="AS25" s="22" t="s">
        <v>34</v>
      </c>
    </row>
    <row r="26" spans="44:45" x14ac:dyDescent="0.25">
      <c r="AR26" t="s">
        <v>6</v>
      </c>
      <c r="AS26" s="39">
        <v>41</v>
      </c>
    </row>
    <row r="27" spans="44:45" x14ac:dyDescent="0.25">
      <c r="AR27" t="s">
        <v>117</v>
      </c>
      <c r="AS27" s="22">
        <v>69.900000000000006</v>
      </c>
    </row>
    <row r="28" spans="44:45" x14ac:dyDescent="0.25">
      <c r="AR28" t="s">
        <v>0</v>
      </c>
      <c r="AS28" s="22">
        <v>72.25</v>
      </c>
    </row>
    <row r="29" spans="44:45" x14ac:dyDescent="0.25">
      <c r="AR29" t="s">
        <v>30</v>
      </c>
      <c r="AS29" s="39">
        <v>76</v>
      </c>
    </row>
    <row r="30" spans="44:45" x14ac:dyDescent="0.25">
      <c r="AR30" t="s">
        <v>3</v>
      </c>
      <c r="AS30" s="39">
        <v>83</v>
      </c>
    </row>
    <row r="31" spans="44:45" x14ac:dyDescent="0.25">
      <c r="AR31" t="s">
        <v>1</v>
      </c>
      <c r="AS31" s="22">
        <v>92.25</v>
      </c>
    </row>
    <row r="32" spans="44:45" x14ac:dyDescent="0.25">
      <c r="AR32" t="s">
        <v>25</v>
      </c>
      <c r="AS32" s="39">
        <v>96</v>
      </c>
    </row>
    <row r="33" spans="44:45" x14ac:dyDescent="0.25">
      <c r="AR33" t="s">
        <v>2</v>
      </c>
      <c r="AS33" s="22">
        <v>98.5</v>
      </c>
    </row>
    <row r="34" spans="44:45" x14ac:dyDescent="0.25">
      <c r="AR34" t="s">
        <v>5</v>
      </c>
      <c r="AS34" s="22">
        <v>98.75</v>
      </c>
    </row>
    <row r="35" spans="44:45" x14ac:dyDescent="0.25">
      <c r="AR35" t="s">
        <v>4</v>
      </c>
      <c r="AS35" s="39">
        <v>100</v>
      </c>
    </row>
    <row r="36" spans="44:45" x14ac:dyDescent="0.25">
      <c r="AR36" s="37"/>
    </row>
    <row r="37" spans="44:45" x14ac:dyDescent="0.25">
      <c r="AR37" s="37"/>
    </row>
    <row r="38" spans="44:45" x14ac:dyDescent="0.25">
      <c r="AR38" s="37"/>
    </row>
    <row r="39" spans="44:45" x14ac:dyDescent="0.25">
      <c r="AR39" s="37" t="s">
        <v>7</v>
      </c>
      <c r="AS39" s="22" t="s">
        <v>35</v>
      </c>
    </row>
    <row r="40" spans="44:45" x14ac:dyDescent="0.25">
      <c r="AR40" t="s">
        <v>4</v>
      </c>
      <c r="AS40" s="22">
        <v>70.666666666666671</v>
      </c>
    </row>
    <row r="41" spans="44:45" x14ac:dyDescent="0.25">
      <c r="AR41" t="s">
        <v>1</v>
      </c>
      <c r="AS41" s="22">
        <v>71.444444444444443</v>
      </c>
    </row>
    <row r="42" spans="44:45" x14ac:dyDescent="0.25">
      <c r="AR42" t="s">
        <v>5</v>
      </c>
      <c r="AS42" s="22">
        <v>76.388888888888886</v>
      </c>
    </row>
    <row r="43" spans="44:45" x14ac:dyDescent="0.25">
      <c r="AR43" t="s">
        <v>6</v>
      </c>
      <c r="AS43" s="22">
        <v>86.666666666666671</v>
      </c>
    </row>
    <row r="44" spans="44:45" x14ac:dyDescent="0.25">
      <c r="AR44" t="s">
        <v>30</v>
      </c>
      <c r="AS44" s="22">
        <v>88.055555555555557</v>
      </c>
    </row>
    <row r="45" spans="44:45" x14ac:dyDescent="0.25">
      <c r="AR45" t="s">
        <v>0</v>
      </c>
      <c r="AS45" s="22">
        <v>88.055555555555557</v>
      </c>
    </row>
    <row r="46" spans="44:45" x14ac:dyDescent="0.25">
      <c r="AR46" t="s">
        <v>117</v>
      </c>
      <c r="AS46" s="22">
        <v>88.222222222222229</v>
      </c>
    </row>
    <row r="47" spans="44:45" x14ac:dyDescent="0.25">
      <c r="AR47" t="s">
        <v>3</v>
      </c>
      <c r="AS47" s="22">
        <v>90.5</v>
      </c>
    </row>
    <row r="48" spans="44:45" x14ac:dyDescent="0.25">
      <c r="AR48" t="s">
        <v>25</v>
      </c>
      <c r="AS48" s="22">
        <v>90.833333333333329</v>
      </c>
    </row>
    <row r="49" spans="44:45" x14ac:dyDescent="0.25">
      <c r="AR49" t="s">
        <v>2</v>
      </c>
      <c r="AS49" s="22">
        <v>91.111111111111114</v>
      </c>
    </row>
    <row r="58" spans="44:45" x14ac:dyDescent="0.25">
      <c r="AS58"/>
    </row>
    <row r="59" spans="44:45" x14ac:dyDescent="0.25">
      <c r="AS59"/>
    </row>
    <row r="60" spans="44:45" x14ac:dyDescent="0.25">
      <c r="AS60"/>
    </row>
    <row r="61" spans="44:45" x14ac:dyDescent="0.25">
      <c r="AS61"/>
    </row>
    <row r="62" spans="44:45" x14ac:dyDescent="0.25">
      <c r="AS62"/>
    </row>
    <row r="63" spans="44:45" x14ac:dyDescent="0.25">
      <c r="AS63"/>
    </row>
    <row r="64" spans="44:45" x14ac:dyDescent="0.25">
      <c r="AS64"/>
    </row>
    <row r="65" spans="45:45" x14ac:dyDescent="0.25">
      <c r="AS65"/>
    </row>
    <row r="66" spans="45:45" x14ac:dyDescent="0.25">
      <c r="AS66"/>
    </row>
    <row r="67" spans="45:45" x14ac:dyDescent="0.25">
      <c r="AS67"/>
    </row>
  </sheetData>
  <mergeCells count="11">
    <mergeCell ref="AL3:AO3"/>
    <mergeCell ref="B2:AO2"/>
    <mergeCell ref="B3:E3"/>
    <mergeCell ref="F3:I3"/>
    <mergeCell ref="J3:M3"/>
    <mergeCell ref="N3:Q3"/>
    <mergeCell ref="R3:U3"/>
    <mergeCell ref="V3:Y3"/>
    <mergeCell ref="Z3:AC3"/>
    <mergeCell ref="AD3:AG3"/>
    <mergeCell ref="AH3:AK3"/>
  </mergeCells>
  <phoneticPr fontId="11" type="noConversion"/>
  <pageMargins left="0.7" right="0.7" top="0.75" bottom="0.75" header="0.3" footer="0.3"/>
  <pageSetup paperSize="8" scale="5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5FFA5-61A8-48C4-9EC6-19B06FD460B7}">
  <sheetPr>
    <pageSetUpPr fitToPage="1"/>
  </sheetPr>
  <dimension ref="A2:AU67"/>
  <sheetViews>
    <sheetView topLeftCell="Z1" zoomScale="55" zoomScaleNormal="55" workbookViewId="0">
      <selection activeCell="AK5" sqref="AK5:AK14"/>
    </sheetView>
  </sheetViews>
  <sheetFormatPr defaultRowHeight="15" x14ac:dyDescent="0.25"/>
  <cols>
    <col min="1" max="1" width="26.7109375" bestFit="1" customWidth="1"/>
    <col min="2" max="3" width="8.5703125" bestFit="1" customWidth="1"/>
    <col min="4" max="4" width="10" bestFit="1" customWidth="1"/>
    <col min="5" max="5" width="12.28515625" bestFit="1" customWidth="1"/>
    <col min="7" max="7" width="9.5703125" customWidth="1"/>
    <col min="8" max="8" width="10" style="30" customWidth="1"/>
    <col min="9" max="9" width="21.7109375" bestFit="1" customWidth="1"/>
    <col min="10" max="10" width="10.140625" customWidth="1"/>
    <col min="11" max="11" width="12.85546875" customWidth="1"/>
    <col min="12" max="12" width="11.140625" customWidth="1"/>
    <col min="13" max="13" width="24.7109375" bestFit="1" customWidth="1"/>
    <col min="14" max="14" width="10.85546875" customWidth="1"/>
    <col min="15" max="15" width="10.5703125" customWidth="1"/>
    <col min="16" max="16" width="10.42578125" customWidth="1"/>
    <col min="17" max="17" width="31.140625" bestFit="1" customWidth="1"/>
    <col min="18" max="18" width="8.5703125" customWidth="1"/>
    <col min="19" max="19" width="9.7109375" customWidth="1"/>
    <col min="20" max="20" width="10.5703125" customWidth="1"/>
    <col min="21" max="21" width="15.140625" bestFit="1" customWidth="1"/>
    <col min="23" max="23" width="9.28515625" customWidth="1"/>
    <col min="24" max="24" width="9.85546875" customWidth="1"/>
    <col min="25" max="25" width="11" bestFit="1" customWidth="1"/>
    <col min="26" max="26" width="10.5703125" customWidth="1"/>
    <col min="27" max="27" width="11.85546875" customWidth="1"/>
    <col min="28" max="28" width="11" customWidth="1"/>
    <col min="29" max="29" width="21.140625" bestFit="1" customWidth="1"/>
    <col min="30" max="30" width="9" bestFit="1" customWidth="1"/>
    <col min="31" max="31" width="9" customWidth="1"/>
    <col min="32" max="32" width="10" bestFit="1" customWidth="1"/>
    <col min="33" max="33" width="17.42578125" bestFit="1" customWidth="1"/>
    <col min="34" max="34" width="10.140625" style="1" customWidth="1"/>
    <col min="35" max="35" width="9.7109375" style="1" customWidth="1"/>
    <col min="36" max="36" width="10.7109375" style="1" customWidth="1"/>
    <col min="37" max="37" width="22.42578125" bestFit="1" customWidth="1"/>
    <col min="38" max="38" width="10" style="1" customWidth="1"/>
    <col min="39" max="39" width="10.42578125" style="1" customWidth="1"/>
    <col min="40" max="40" width="10" style="1" bestFit="1" customWidth="1"/>
    <col min="41" max="41" width="20.7109375" customWidth="1"/>
    <col min="44" max="44" width="32.85546875"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47.2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10" customFormat="1" ht="18.75" x14ac:dyDescent="0.3">
      <c r="A5" s="16" t="s">
        <v>25</v>
      </c>
      <c r="B5" s="7">
        <v>95</v>
      </c>
      <c r="C5" s="7">
        <v>100</v>
      </c>
      <c r="D5" s="7">
        <f>AVERAGE(B5:C5)</f>
        <v>97.5</v>
      </c>
      <c r="E5" s="24" t="s">
        <v>11</v>
      </c>
      <c r="F5" s="3"/>
      <c r="G5" s="3"/>
      <c r="H5" s="27">
        <v>100</v>
      </c>
      <c r="I5" s="24" t="s">
        <v>57</v>
      </c>
      <c r="J5" s="7">
        <v>85</v>
      </c>
      <c r="K5" s="7">
        <v>90</v>
      </c>
      <c r="L5" s="7">
        <f t="shared" ref="L5:L14" si="0">AVERAGE(J5:K5)</f>
        <v>87.5</v>
      </c>
      <c r="M5" s="24" t="s">
        <v>103</v>
      </c>
      <c r="N5" s="9">
        <v>95</v>
      </c>
      <c r="O5" s="9">
        <v>100</v>
      </c>
      <c r="P5" s="8">
        <f t="shared" ref="P5:P6" si="1">AVERAGE(N5:O5)</f>
        <v>97.5</v>
      </c>
      <c r="Q5" s="8" t="s">
        <v>49</v>
      </c>
      <c r="R5" s="7">
        <v>85</v>
      </c>
      <c r="S5" s="7">
        <v>90</v>
      </c>
      <c r="T5" s="7">
        <f t="shared" ref="T5:T12" si="2">AVERAGE(R5:S5)</f>
        <v>87.5</v>
      </c>
      <c r="U5" s="8" t="s">
        <v>49</v>
      </c>
      <c r="V5" s="7"/>
      <c r="W5" s="7"/>
      <c r="X5" s="7">
        <v>100</v>
      </c>
      <c r="Y5" s="9" t="s">
        <v>11</v>
      </c>
      <c r="Z5" s="7"/>
      <c r="AA5" s="7"/>
      <c r="AB5" s="7">
        <v>80</v>
      </c>
      <c r="AC5" s="24" t="s">
        <v>104</v>
      </c>
      <c r="AD5" s="9"/>
      <c r="AE5" s="9"/>
      <c r="AF5" s="7">
        <v>100</v>
      </c>
      <c r="AG5" s="33" t="s">
        <v>38</v>
      </c>
      <c r="AH5" s="7">
        <v>80</v>
      </c>
      <c r="AI5" s="7">
        <v>90</v>
      </c>
      <c r="AJ5" s="3">
        <f t="shared" ref="AJ5:AJ8" si="3">AVERAGE(AH5:AI5)</f>
        <v>85</v>
      </c>
      <c r="AK5" s="38" t="s">
        <v>105</v>
      </c>
      <c r="AL5" s="7"/>
      <c r="AM5" s="7"/>
      <c r="AN5" s="7">
        <v>0</v>
      </c>
      <c r="AO5" s="8" t="s">
        <v>10</v>
      </c>
      <c r="AR5" s="18" t="s">
        <v>25</v>
      </c>
      <c r="AS5" s="21">
        <f>D15</f>
        <v>95.65</v>
      </c>
      <c r="AT5" s="21">
        <f>AVERAGE(D5,H5,L5,T5,X5,AB5,AF5,AJ5,AN5)</f>
        <v>81.944444444444443</v>
      </c>
    </row>
    <row r="6" spans="1:47" s="10" customFormat="1" ht="18.75" x14ac:dyDescent="0.3">
      <c r="A6" s="17" t="s">
        <v>30</v>
      </c>
      <c r="B6" s="3">
        <v>90</v>
      </c>
      <c r="C6" s="3">
        <v>100</v>
      </c>
      <c r="D6" s="7">
        <f t="shared" ref="D6:D14" si="4">AVERAGE(B6:C6)</f>
        <v>95</v>
      </c>
      <c r="E6" s="24" t="s">
        <v>11</v>
      </c>
      <c r="F6" s="12"/>
      <c r="G6" s="12"/>
      <c r="H6" s="28">
        <v>100</v>
      </c>
      <c r="I6" s="24" t="s">
        <v>57</v>
      </c>
      <c r="J6" s="3">
        <v>15</v>
      </c>
      <c r="K6" s="3">
        <v>25</v>
      </c>
      <c r="L6" s="7">
        <f t="shared" si="0"/>
        <v>20</v>
      </c>
      <c r="M6" s="8" t="s">
        <v>49</v>
      </c>
      <c r="N6" s="8">
        <v>90</v>
      </c>
      <c r="O6" s="8">
        <v>98</v>
      </c>
      <c r="P6" s="8">
        <f t="shared" si="1"/>
        <v>94</v>
      </c>
      <c r="Q6" s="8" t="s">
        <v>50</v>
      </c>
      <c r="R6" s="7">
        <v>90</v>
      </c>
      <c r="S6" s="7">
        <v>95</v>
      </c>
      <c r="T6" s="7">
        <f t="shared" si="2"/>
        <v>92.5</v>
      </c>
      <c r="U6" s="33" t="s">
        <v>106</v>
      </c>
      <c r="V6" s="3"/>
      <c r="W6" s="3"/>
      <c r="X6" s="36">
        <v>100</v>
      </c>
      <c r="Y6" s="9" t="s">
        <v>11</v>
      </c>
      <c r="Z6" s="3"/>
      <c r="AA6" s="3"/>
      <c r="AB6" s="7">
        <v>90</v>
      </c>
      <c r="AC6" s="24" t="s">
        <v>91</v>
      </c>
      <c r="AD6" s="8"/>
      <c r="AE6" s="8"/>
      <c r="AF6" s="3">
        <v>100</v>
      </c>
      <c r="AG6" s="33" t="s">
        <v>38</v>
      </c>
      <c r="AH6" s="7">
        <v>70</v>
      </c>
      <c r="AI6" s="3">
        <v>80</v>
      </c>
      <c r="AJ6" s="3">
        <f t="shared" si="3"/>
        <v>75</v>
      </c>
      <c r="AK6" s="38" t="s">
        <v>107</v>
      </c>
      <c r="AL6" s="3"/>
      <c r="AM6" s="3"/>
      <c r="AN6" s="3">
        <v>0</v>
      </c>
      <c r="AO6" s="8" t="s">
        <v>10</v>
      </c>
      <c r="AR6" s="18" t="s">
        <v>30</v>
      </c>
      <c r="AS6" s="21">
        <f>H15</f>
        <v>100</v>
      </c>
      <c r="AT6" s="21">
        <f t="shared" ref="AT6:AT14" si="5">AVERAGE(D6,H6,L6,T6,X6,AB6,AF6,AJ6,AN6)</f>
        <v>74.722222222222229</v>
      </c>
    </row>
    <row r="7" spans="1:47" s="10" customFormat="1" ht="18.75" x14ac:dyDescent="0.3">
      <c r="A7" s="17" t="s">
        <v>0</v>
      </c>
      <c r="B7" s="3">
        <v>95</v>
      </c>
      <c r="C7" s="3">
        <v>100</v>
      </c>
      <c r="D7" s="7">
        <f t="shared" si="4"/>
        <v>97.5</v>
      </c>
      <c r="E7" s="24" t="s">
        <v>11</v>
      </c>
      <c r="F7" s="12"/>
      <c r="G7" s="12"/>
      <c r="H7" s="28">
        <v>100</v>
      </c>
      <c r="I7" s="24" t="s">
        <v>57</v>
      </c>
      <c r="J7" s="3">
        <v>95</v>
      </c>
      <c r="K7" s="3">
        <v>98</v>
      </c>
      <c r="L7" s="7">
        <f t="shared" si="0"/>
        <v>96.5</v>
      </c>
      <c r="M7" s="8" t="s">
        <v>50</v>
      </c>
      <c r="N7" s="8">
        <v>95</v>
      </c>
      <c r="O7" s="8">
        <v>100</v>
      </c>
      <c r="P7" s="8">
        <f>AVERAGE(N7:O7)</f>
        <v>97.5</v>
      </c>
      <c r="Q7" s="8" t="s">
        <v>50</v>
      </c>
      <c r="R7" s="7">
        <v>90</v>
      </c>
      <c r="S7" s="7">
        <v>95</v>
      </c>
      <c r="T7" s="7">
        <f t="shared" si="2"/>
        <v>92.5</v>
      </c>
      <c r="U7" s="33" t="s">
        <v>51</v>
      </c>
      <c r="V7" s="3"/>
      <c r="W7" s="3"/>
      <c r="X7" s="36">
        <v>100</v>
      </c>
      <c r="Y7" s="9" t="s">
        <v>11</v>
      </c>
      <c r="Z7" s="3"/>
      <c r="AA7" s="3"/>
      <c r="AB7" s="7">
        <v>95</v>
      </c>
      <c r="AC7" s="24" t="s">
        <v>47</v>
      </c>
      <c r="AD7" s="8"/>
      <c r="AE7" s="8"/>
      <c r="AF7" s="3">
        <v>100</v>
      </c>
      <c r="AG7" s="8" t="s">
        <v>65</v>
      </c>
      <c r="AH7" s="7">
        <v>95</v>
      </c>
      <c r="AI7" s="3">
        <v>100</v>
      </c>
      <c r="AJ7" s="3">
        <f t="shared" si="3"/>
        <v>97.5</v>
      </c>
      <c r="AK7" s="8" t="s">
        <v>50</v>
      </c>
      <c r="AL7" s="3"/>
      <c r="AM7" s="3"/>
      <c r="AN7" s="3">
        <v>0</v>
      </c>
      <c r="AO7" s="8" t="s">
        <v>10</v>
      </c>
      <c r="AR7" s="18" t="s">
        <v>0</v>
      </c>
      <c r="AS7" s="21">
        <f>L15</f>
        <v>84.7</v>
      </c>
      <c r="AT7" s="21">
        <f t="shared" si="5"/>
        <v>86.555555555555557</v>
      </c>
    </row>
    <row r="8" spans="1:47" s="10" customFormat="1" ht="18.75" x14ac:dyDescent="0.3">
      <c r="A8" s="17" t="s">
        <v>117</v>
      </c>
      <c r="B8" s="3">
        <v>90</v>
      </c>
      <c r="C8" s="3">
        <v>100</v>
      </c>
      <c r="D8" s="7">
        <f t="shared" si="4"/>
        <v>95</v>
      </c>
      <c r="E8" s="24" t="s">
        <v>11</v>
      </c>
      <c r="F8" s="12"/>
      <c r="G8" s="12"/>
      <c r="H8" s="28">
        <v>100</v>
      </c>
      <c r="I8" s="24" t="s">
        <v>19</v>
      </c>
      <c r="J8" s="3">
        <v>90</v>
      </c>
      <c r="K8" s="3">
        <v>95</v>
      </c>
      <c r="L8" s="7">
        <f t="shared" si="0"/>
        <v>92.5</v>
      </c>
      <c r="M8" s="24" t="s">
        <v>38</v>
      </c>
      <c r="N8" s="8">
        <v>95</v>
      </c>
      <c r="O8" s="8">
        <v>100</v>
      </c>
      <c r="P8" s="8">
        <f t="shared" ref="P8:P14" si="6">AVERAGE(N8:O8)</f>
        <v>97.5</v>
      </c>
      <c r="Q8" s="8" t="s">
        <v>50</v>
      </c>
      <c r="R8" s="7">
        <v>85</v>
      </c>
      <c r="S8" s="7">
        <v>90</v>
      </c>
      <c r="T8" s="7">
        <f t="shared" si="2"/>
        <v>87.5</v>
      </c>
      <c r="U8" s="33" t="s">
        <v>51</v>
      </c>
      <c r="V8" s="3"/>
      <c r="W8" s="3"/>
      <c r="X8" s="36">
        <v>100</v>
      </c>
      <c r="Y8" s="9" t="s">
        <v>11</v>
      </c>
      <c r="Z8" s="3"/>
      <c r="AA8" s="3"/>
      <c r="AB8" s="7">
        <v>80</v>
      </c>
      <c r="AC8" s="24" t="s">
        <v>89</v>
      </c>
      <c r="AD8" s="8"/>
      <c r="AE8" s="8"/>
      <c r="AF8" s="3">
        <v>100</v>
      </c>
      <c r="AG8" s="8" t="s">
        <v>65</v>
      </c>
      <c r="AH8" s="3">
        <v>95</v>
      </c>
      <c r="AI8" s="3">
        <v>100</v>
      </c>
      <c r="AJ8" s="3">
        <f t="shared" si="3"/>
        <v>97.5</v>
      </c>
      <c r="AK8" s="8" t="s">
        <v>50</v>
      </c>
      <c r="AL8" s="3"/>
      <c r="AM8" s="3"/>
      <c r="AN8" s="3">
        <v>0</v>
      </c>
      <c r="AO8" s="8" t="s">
        <v>10</v>
      </c>
      <c r="AR8" s="18" t="s">
        <v>117</v>
      </c>
      <c r="AS8" s="21">
        <f>P15</f>
        <v>80.349999999999994</v>
      </c>
      <c r="AT8" s="21">
        <f t="shared" si="5"/>
        <v>83.611111111111114</v>
      </c>
    </row>
    <row r="9" spans="1:47" s="10" customFormat="1" ht="18.75" x14ac:dyDescent="0.3">
      <c r="A9" s="17" t="s">
        <v>1</v>
      </c>
      <c r="B9" s="3">
        <v>90</v>
      </c>
      <c r="C9" s="3">
        <v>100</v>
      </c>
      <c r="D9" s="7">
        <f t="shared" si="4"/>
        <v>95</v>
      </c>
      <c r="E9" s="24" t="s">
        <v>11</v>
      </c>
      <c r="F9" s="12"/>
      <c r="G9" s="12"/>
      <c r="H9" s="28">
        <v>100</v>
      </c>
      <c r="I9" s="24" t="s">
        <v>57</v>
      </c>
      <c r="J9" s="3">
        <v>85</v>
      </c>
      <c r="K9" s="3">
        <v>90</v>
      </c>
      <c r="L9" s="7">
        <f t="shared" si="0"/>
        <v>87.5</v>
      </c>
      <c r="M9" s="24" t="s">
        <v>108</v>
      </c>
      <c r="N9" s="8">
        <v>98</v>
      </c>
      <c r="O9" s="8">
        <v>100</v>
      </c>
      <c r="P9" s="8">
        <f t="shared" si="6"/>
        <v>99</v>
      </c>
      <c r="Q9" s="8" t="s">
        <v>50</v>
      </c>
      <c r="R9" s="7">
        <v>85</v>
      </c>
      <c r="S9" s="7">
        <v>90</v>
      </c>
      <c r="T9" s="7">
        <f t="shared" si="2"/>
        <v>87.5</v>
      </c>
      <c r="U9" s="33" t="s">
        <v>11</v>
      </c>
      <c r="V9" s="3"/>
      <c r="W9" s="3"/>
      <c r="X9" s="3">
        <v>100</v>
      </c>
      <c r="Y9" s="9" t="s">
        <v>11</v>
      </c>
      <c r="Z9" s="7"/>
      <c r="AA9" s="7"/>
      <c r="AB9" s="7">
        <v>85</v>
      </c>
      <c r="AC9" s="24" t="s">
        <v>47</v>
      </c>
      <c r="AD9" s="8"/>
      <c r="AE9" s="8"/>
      <c r="AF9" s="3">
        <v>100</v>
      </c>
      <c r="AG9" s="33" t="s">
        <v>38</v>
      </c>
      <c r="AH9" s="3">
        <v>90</v>
      </c>
      <c r="AI9" s="3">
        <v>100</v>
      </c>
      <c r="AJ9" s="3">
        <f>AVERAGE(AH9:AI9)</f>
        <v>95</v>
      </c>
      <c r="AK9" s="25" t="s">
        <v>109</v>
      </c>
      <c r="AL9" s="3"/>
      <c r="AM9" s="3"/>
      <c r="AN9" s="3">
        <v>0</v>
      </c>
      <c r="AO9" s="8" t="s">
        <v>10</v>
      </c>
      <c r="AR9" s="18" t="s">
        <v>1</v>
      </c>
      <c r="AS9" s="21">
        <f>T15</f>
        <v>89</v>
      </c>
      <c r="AT9" s="21">
        <f t="shared" si="5"/>
        <v>83.333333333333329</v>
      </c>
    </row>
    <row r="10" spans="1:47" s="10" customFormat="1" ht="18.75" x14ac:dyDescent="0.3">
      <c r="A10" s="17" t="s">
        <v>2</v>
      </c>
      <c r="B10" s="3">
        <v>95</v>
      </c>
      <c r="C10" s="3">
        <v>100</v>
      </c>
      <c r="D10" s="7">
        <f t="shared" si="4"/>
        <v>97.5</v>
      </c>
      <c r="E10" s="24" t="s">
        <v>11</v>
      </c>
      <c r="F10" s="12"/>
      <c r="G10" s="12"/>
      <c r="H10" s="29">
        <v>100</v>
      </c>
      <c r="I10" s="24" t="s">
        <v>110</v>
      </c>
      <c r="J10" s="3">
        <v>95</v>
      </c>
      <c r="K10" s="3">
        <v>98</v>
      </c>
      <c r="L10" s="7">
        <f t="shared" si="0"/>
        <v>96.5</v>
      </c>
      <c r="M10" s="24" t="s">
        <v>111</v>
      </c>
      <c r="N10" s="8">
        <v>99</v>
      </c>
      <c r="O10" s="8">
        <v>100</v>
      </c>
      <c r="P10" s="8">
        <f t="shared" si="6"/>
        <v>99.5</v>
      </c>
      <c r="Q10" s="8" t="s">
        <v>50</v>
      </c>
      <c r="R10" s="7">
        <v>85</v>
      </c>
      <c r="S10" s="7">
        <v>90</v>
      </c>
      <c r="T10" s="7">
        <f t="shared" si="2"/>
        <v>87.5</v>
      </c>
      <c r="U10" s="33" t="s">
        <v>51</v>
      </c>
      <c r="V10" s="3"/>
      <c r="W10" s="3"/>
      <c r="X10" s="3">
        <v>100</v>
      </c>
      <c r="Y10" s="9" t="s">
        <v>11</v>
      </c>
      <c r="Z10" s="3"/>
      <c r="AA10" s="3"/>
      <c r="AB10" s="7">
        <v>90</v>
      </c>
      <c r="AC10" s="24" t="s">
        <v>47</v>
      </c>
      <c r="AD10" s="8"/>
      <c r="AE10" s="8"/>
      <c r="AF10" s="3">
        <v>100</v>
      </c>
      <c r="AG10" s="8" t="s">
        <v>65</v>
      </c>
      <c r="AH10" s="3">
        <v>90</v>
      </c>
      <c r="AI10" s="3">
        <v>100</v>
      </c>
      <c r="AJ10" s="3">
        <f t="shared" ref="AJ10:AJ14" si="7">AVERAGE(AH10:AI10)</f>
        <v>95</v>
      </c>
      <c r="AK10" s="25" t="s">
        <v>109</v>
      </c>
      <c r="AL10" s="3"/>
      <c r="AM10" s="3"/>
      <c r="AN10" s="3">
        <v>0</v>
      </c>
      <c r="AO10" s="8" t="s">
        <v>10</v>
      </c>
      <c r="AR10" s="18" t="s">
        <v>2</v>
      </c>
      <c r="AS10" s="21">
        <f>X15</f>
        <v>100</v>
      </c>
      <c r="AT10" s="21">
        <f t="shared" si="5"/>
        <v>85.166666666666671</v>
      </c>
    </row>
    <row r="11" spans="1:47" s="10" customFormat="1" ht="18.75" customHeight="1" x14ac:dyDescent="0.3">
      <c r="A11" s="17" t="s">
        <v>3</v>
      </c>
      <c r="B11" s="3">
        <v>90</v>
      </c>
      <c r="C11" s="3">
        <v>95</v>
      </c>
      <c r="D11" s="7">
        <f t="shared" si="4"/>
        <v>92.5</v>
      </c>
      <c r="E11" s="24" t="s">
        <v>11</v>
      </c>
      <c r="F11" s="12"/>
      <c r="G11" s="12"/>
      <c r="H11" s="29">
        <v>100</v>
      </c>
      <c r="I11" s="24" t="s">
        <v>110</v>
      </c>
      <c r="J11" s="3">
        <v>90</v>
      </c>
      <c r="K11" s="3">
        <v>95</v>
      </c>
      <c r="L11" s="7">
        <f t="shared" si="0"/>
        <v>92.5</v>
      </c>
      <c r="M11" s="24" t="s">
        <v>103</v>
      </c>
      <c r="N11" s="8">
        <v>99</v>
      </c>
      <c r="O11" s="8">
        <v>100</v>
      </c>
      <c r="P11" s="8">
        <f t="shared" si="6"/>
        <v>99.5</v>
      </c>
      <c r="Q11" s="8" t="s">
        <v>50</v>
      </c>
      <c r="R11" s="7">
        <v>85</v>
      </c>
      <c r="S11" s="7">
        <v>90</v>
      </c>
      <c r="T11" s="7">
        <f t="shared" si="2"/>
        <v>87.5</v>
      </c>
      <c r="U11" s="33" t="s">
        <v>51</v>
      </c>
      <c r="V11" s="3"/>
      <c r="W11" s="3"/>
      <c r="X11" s="3">
        <v>100</v>
      </c>
      <c r="Y11" s="9" t="s">
        <v>11</v>
      </c>
      <c r="Z11" s="3"/>
      <c r="AA11" s="3"/>
      <c r="AB11" s="7">
        <v>80</v>
      </c>
      <c r="AC11" s="24" t="s">
        <v>89</v>
      </c>
      <c r="AD11" s="8"/>
      <c r="AE11" s="8"/>
      <c r="AF11" s="3">
        <v>100</v>
      </c>
      <c r="AG11" s="33" t="s">
        <v>38</v>
      </c>
      <c r="AH11" s="3">
        <v>90</v>
      </c>
      <c r="AI11" s="3">
        <v>100</v>
      </c>
      <c r="AJ11" s="3">
        <f t="shared" si="7"/>
        <v>95</v>
      </c>
      <c r="AK11" s="25" t="s">
        <v>109</v>
      </c>
      <c r="AL11" s="3"/>
      <c r="AM11" s="3"/>
      <c r="AN11" s="3">
        <v>0</v>
      </c>
      <c r="AO11" s="8" t="s">
        <v>10</v>
      </c>
      <c r="AR11" s="18" t="s">
        <v>3</v>
      </c>
      <c r="AS11" s="32">
        <f>AB15</f>
        <v>86</v>
      </c>
      <c r="AT11" s="21">
        <f t="shared" si="5"/>
        <v>83.055555555555557</v>
      </c>
      <c r="AU11" s="4"/>
    </row>
    <row r="12" spans="1:47" s="10" customFormat="1" ht="20.25" customHeight="1" x14ac:dyDescent="0.3">
      <c r="A12" s="17" t="s">
        <v>4</v>
      </c>
      <c r="B12" s="3">
        <v>90</v>
      </c>
      <c r="C12" s="3">
        <v>100</v>
      </c>
      <c r="D12" s="7">
        <f t="shared" si="4"/>
        <v>95</v>
      </c>
      <c r="E12" s="24" t="s">
        <v>11</v>
      </c>
      <c r="F12" s="12"/>
      <c r="G12" s="12"/>
      <c r="H12" s="29">
        <v>100</v>
      </c>
      <c r="I12" s="24" t="s">
        <v>57</v>
      </c>
      <c r="J12" s="3">
        <v>85</v>
      </c>
      <c r="K12" s="3">
        <v>90</v>
      </c>
      <c r="L12" s="7">
        <f t="shared" si="0"/>
        <v>87.5</v>
      </c>
      <c r="M12" s="8" t="s">
        <v>50</v>
      </c>
      <c r="N12" s="8">
        <v>0</v>
      </c>
      <c r="O12" s="8">
        <v>30</v>
      </c>
      <c r="P12" s="8">
        <f t="shared" si="6"/>
        <v>15</v>
      </c>
      <c r="Q12" s="8" t="s">
        <v>50</v>
      </c>
      <c r="R12" s="7">
        <v>85</v>
      </c>
      <c r="S12" s="7">
        <v>90</v>
      </c>
      <c r="T12" s="7">
        <f t="shared" si="2"/>
        <v>87.5</v>
      </c>
      <c r="U12" s="33" t="s">
        <v>51</v>
      </c>
      <c r="V12" s="3"/>
      <c r="W12" s="3"/>
      <c r="X12" s="3">
        <v>100</v>
      </c>
      <c r="Y12" s="9" t="s">
        <v>11</v>
      </c>
      <c r="Z12" s="3"/>
      <c r="AA12" s="3"/>
      <c r="AB12" s="7">
        <v>90</v>
      </c>
      <c r="AC12" s="24" t="s">
        <v>47</v>
      </c>
      <c r="AD12" s="8"/>
      <c r="AE12" s="8"/>
      <c r="AF12" s="3">
        <v>100</v>
      </c>
      <c r="AG12" s="8" t="s">
        <v>65</v>
      </c>
      <c r="AH12" s="3">
        <v>95</v>
      </c>
      <c r="AI12" s="3">
        <v>100</v>
      </c>
      <c r="AJ12" s="3">
        <f t="shared" si="7"/>
        <v>97.5</v>
      </c>
      <c r="AK12" s="8" t="s">
        <v>50</v>
      </c>
      <c r="AL12" s="3"/>
      <c r="AM12" s="3"/>
      <c r="AN12" s="3">
        <v>0</v>
      </c>
      <c r="AO12" s="8" t="s">
        <v>10</v>
      </c>
      <c r="AR12" s="18" t="s">
        <v>4</v>
      </c>
      <c r="AS12" s="21">
        <f>AF15</f>
        <v>100</v>
      </c>
      <c r="AT12" s="21">
        <f t="shared" si="5"/>
        <v>84.166666666666671</v>
      </c>
    </row>
    <row r="13" spans="1:47" s="10" customFormat="1" ht="21" customHeight="1" x14ac:dyDescent="0.3">
      <c r="A13" s="17" t="s">
        <v>5</v>
      </c>
      <c r="B13" s="3">
        <v>98</v>
      </c>
      <c r="C13" s="3">
        <v>100</v>
      </c>
      <c r="D13" s="7">
        <f t="shared" si="4"/>
        <v>99</v>
      </c>
      <c r="E13" s="24" t="s">
        <v>11</v>
      </c>
      <c r="F13" s="12"/>
      <c r="G13" s="12"/>
      <c r="H13" s="29">
        <v>100</v>
      </c>
      <c r="I13" s="24" t="s">
        <v>57</v>
      </c>
      <c r="J13" s="3">
        <v>95</v>
      </c>
      <c r="K13" s="3">
        <v>98</v>
      </c>
      <c r="L13" s="7">
        <f t="shared" si="0"/>
        <v>96.5</v>
      </c>
      <c r="M13" t="s">
        <v>112</v>
      </c>
      <c r="N13" s="11">
        <v>90</v>
      </c>
      <c r="O13" s="11">
        <v>98</v>
      </c>
      <c r="P13" s="8">
        <f>AVERAGE(N13:O13)</f>
        <v>94</v>
      </c>
      <c r="Q13" s="8" t="s">
        <v>50</v>
      </c>
      <c r="R13" s="7">
        <v>90</v>
      </c>
      <c r="S13" s="7">
        <v>95</v>
      </c>
      <c r="T13" s="7">
        <f>AVERAGE(R13:S13)</f>
        <v>92.5</v>
      </c>
      <c r="U13" s="33" t="s">
        <v>51</v>
      </c>
      <c r="V13" s="3"/>
      <c r="W13" s="3"/>
      <c r="X13" s="3">
        <v>100</v>
      </c>
      <c r="Y13" s="9" t="s">
        <v>11</v>
      </c>
      <c r="Z13" s="3"/>
      <c r="AA13" s="3"/>
      <c r="AB13" s="7">
        <v>90</v>
      </c>
      <c r="AC13" s="24" t="s">
        <v>47</v>
      </c>
      <c r="AD13" s="8"/>
      <c r="AE13" s="8"/>
      <c r="AF13" s="3">
        <v>100</v>
      </c>
      <c r="AG13" s="8" t="s">
        <v>65</v>
      </c>
      <c r="AH13" s="3">
        <v>95</v>
      </c>
      <c r="AI13" s="3">
        <v>100</v>
      </c>
      <c r="AJ13" s="3">
        <f t="shared" si="7"/>
        <v>97.5</v>
      </c>
      <c r="AK13" s="8" t="s">
        <v>50</v>
      </c>
      <c r="AL13" s="3"/>
      <c r="AM13" s="3"/>
      <c r="AN13" s="3">
        <v>0</v>
      </c>
      <c r="AO13" s="8" t="s">
        <v>10</v>
      </c>
      <c r="AR13" s="18" t="s">
        <v>5</v>
      </c>
      <c r="AS13" s="21">
        <f>AJ15</f>
        <v>93.25</v>
      </c>
      <c r="AT13" s="21">
        <f t="shared" si="5"/>
        <v>86.166666666666671</v>
      </c>
    </row>
    <row r="14" spans="1:47" s="10" customFormat="1" ht="19.5" customHeight="1" x14ac:dyDescent="0.3">
      <c r="A14" s="17" t="s">
        <v>6</v>
      </c>
      <c r="B14" s="3">
        <v>90</v>
      </c>
      <c r="C14" s="3">
        <v>95</v>
      </c>
      <c r="D14" s="7">
        <f t="shared" si="4"/>
        <v>92.5</v>
      </c>
      <c r="E14" s="24" t="s">
        <v>11</v>
      </c>
      <c r="F14" s="12"/>
      <c r="G14" s="12"/>
      <c r="H14" s="29">
        <v>100</v>
      </c>
      <c r="I14" s="24" t="s">
        <v>57</v>
      </c>
      <c r="J14" s="3">
        <v>88</v>
      </c>
      <c r="K14" s="3">
        <v>92</v>
      </c>
      <c r="L14" s="3">
        <f t="shared" si="0"/>
        <v>90</v>
      </c>
      <c r="M14" s="24" t="s">
        <v>38</v>
      </c>
      <c r="N14" s="8">
        <v>0</v>
      </c>
      <c r="O14" s="8">
        <v>20</v>
      </c>
      <c r="P14" s="8">
        <f t="shared" si="6"/>
        <v>10</v>
      </c>
      <c r="Q14" s="8" t="s">
        <v>50</v>
      </c>
      <c r="R14" s="3">
        <v>85</v>
      </c>
      <c r="S14" s="3">
        <v>90</v>
      </c>
      <c r="T14" s="7">
        <f>AVERAGE(R14:S14)</f>
        <v>87.5</v>
      </c>
      <c r="U14" s="33" t="s">
        <v>51</v>
      </c>
      <c r="V14" s="3"/>
      <c r="W14" s="3"/>
      <c r="X14" s="3">
        <v>100</v>
      </c>
      <c r="Y14" s="9" t="s">
        <v>11</v>
      </c>
      <c r="Z14" s="3"/>
      <c r="AA14" s="3"/>
      <c r="AB14" s="7">
        <v>80</v>
      </c>
      <c r="AC14" s="24" t="s">
        <v>89</v>
      </c>
      <c r="AD14" s="8"/>
      <c r="AE14" s="8"/>
      <c r="AF14" s="3">
        <v>100</v>
      </c>
      <c r="AG14" s="8" t="s">
        <v>50</v>
      </c>
      <c r="AH14" s="3">
        <v>95</v>
      </c>
      <c r="AI14" s="3">
        <v>100</v>
      </c>
      <c r="AJ14" s="3">
        <f t="shared" si="7"/>
        <v>97.5</v>
      </c>
      <c r="AK14" s="25" t="s">
        <v>109</v>
      </c>
      <c r="AL14" s="3"/>
      <c r="AM14" s="3"/>
      <c r="AN14" s="3">
        <v>0</v>
      </c>
      <c r="AO14" s="8" t="s">
        <v>10</v>
      </c>
      <c r="AR14" s="18" t="s">
        <v>6</v>
      </c>
      <c r="AS14" s="21">
        <f>AN15</f>
        <v>0</v>
      </c>
      <c r="AT14" s="21">
        <f t="shared" si="5"/>
        <v>83.055555555555557</v>
      </c>
    </row>
    <row r="15" spans="1:47" ht="18.75" x14ac:dyDescent="0.3">
      <c r="A15" s="19" t="s">
        <v>33</v>
      </c>
      <c r="B15" s="19"/>
      <c r="C15" s="19"/>
      <c r="D15" s="19">
        <f>AVERAGE(D5:D14)</f>
        <v>95.65</v>
      </c>
      <c r="E15" s="19"/>
      <c r="F15" s="19"/>
      <c r="G15" s="19"/>
      <c r="H15" s="40">
        <f t="shared" ref="H15:AN15" si="8">AVERAGE(H5:H14)</f>
        <v>100</v>
      </c>
      <c r="I15" s="19"/>
      <c r="J15" s="19"/>
      <c r="K15" s="19"/>
      <c r="L15" s="19">
        <f t="shared" si="8"/>
        <v>84.7</v>
      </c>
      <c r="M15" s="19"/>
      <c r="N15" s="19"/>
      <c r="O15" s="19"/>
      <c r="P15" s="19">
        <f>AVERAGE(P5:P14)</f>
        <v>80.349999999999994</v>
      </c>
      <c r="Q15" s="19"/>
      <c r="R15" s="19"/>
      <c r="S15" s="19"/>
      <c r="T15" s="19">
        <f t="shared" si="8"/>
        <v>89</v>
      </c>
      <c r="U15" s="19"/>
      <c r="V15" s="19"/>
      <c r="W15" s="19"/>
      <c r="X15" s="19">
        <f t="shared" si="8"/>
        <v>100</v>
      </c>
      <c r="Y15" s="19"/>
      <c r="Z15" s="19"/>
      <c r="AA15" s="19"/>
      <c r="AB15" s="35">
        <f t="shared" si="8"/>
        <v>86</v>
      </c>
      <c r="AC15" s="19"/>
      <c r="AD15" s="19"/>
      <c r="AE15" s="19"/>
      <c r="AF15" s="19">
        <f t="shared" si="8"/>
        <v>100</v>
      </c>
      <c r="AG15" s="19"/>
      <c r="AH15" s="19"/>
      <c r="AI15" s="19"/>
      <c r="AJ15" s="35">
        <f t="shared" si="8"/>
        <v>93.25</v>
      </c>
      <c r="AK15" s="19"/>
      <c r="AL15" s="19"/>
      <c r="AM15" s="19"/>
      <c r="AN15" s="19">
        <f t="shared" si="8"/>
        <v>0</v>
      </c>
      <c r="AO15" s="19"/>
    </row>
    <row r="16" spans="1:47" x14ac:dyDescent="0.25">
      <c r="AL16" s="2"/>
      <c r="AM16" s="2"/>
      <c r="AN16" s="2"/>
    </row>
    <row r="25" spans="44:45" x14ac:dyDescent="0.25">
      <c r="AR25" s="37" t="s">
        <v>7</v>
      </c>
      <c r="AS25" s="22" t="s">
        <v>34</v>
      </c>
    </row>
    <row r="26" spans="44:45" x14ac:dyDescent="0.25">
      <c r="AR26" t="s">
        <v>6</v>
      </c>
      <c r="AS26" s="22">
        <v>0</v>
      </c>
    </row>
    <row r="27" spans="44:45" x14ac:dyDescent="0.25">
      <c r="AR27" t="s">
        <v>117</v>
      </c>
      <c r="AS27" s="22">
        <v>80.349999999999994</v>
      </c>
    </row>
    <row r="28" spans="44:45" x14ac:dyDescent="0.25">
      <c r="AR28" t="s">
        <v>0</v>
      </c>
      <c r="AS28" s="22">
        <v>84.7</v>
      </c>
    </row>
    <row r="29" spans="44:45" x14ac:dyDescent="0.25">
      <c r="AR29" t="s">
        <v>3</v>
      </c>
      <c r="AS29" s="39">
        <v>86</v>
      </c>
    </row>
    <row r="30" spans="44:45" x14ac:dyDescent="0.25">
      <c r="AR30" t="s">
        <v>1</v>
      </c>
      <c r="AS30" s="39">
        <v>89</v>
      </c>
    </row>
    <row r="31" spans="44:45" x14ac:dyDescent="0.25">
      <c r="AR31" t="s">
        <v>5</v>
      </c>
      <c r="AS31" s="22">
        <v>93.25</v>
      </c>
    </row>
    <row r="32" spans="44:45" x14ac:dyDescent="0.25">
      <c r="AR32" t="s">
        <v>25</v>
      </c>
      <c r="AS32" s="22">
        <v>95.65</v>
      </c>
    </row>
    <row r="33" spans="44:45" x14ac:dyDescent="0.25">
      <c r="AR33" t="s">
        <v>30</v>
      </c>
      <c r="AS33" s="39">
        <v>100</v>
      </c>
    </row>
    <row r="34" spans="44:45" x14ac:dyDescent="0.25">
      <c r="AR34" t="s">
        <v>2</v>
      </c>
      <c r="AS34" s="39">
        <v>100</v>
      </c>
    </row>
    <row r="35" spans="44:45" x14ac:dyDescent="0.25">
      <c r="AR35" t="s">
        <v>4</v>
      </c>
      <c r="AS35" s="39">
        <v>100</v>
      </c>
    </row>
    <row r="36" spans="44:45" x14ac:dyDescent="0.25">
      <c r="AR36" s="37"/>
    </row>
    <row r="37" spans="44:45" x14ac:dyDescent="0.25">
      <c r="AR37" s="37"/>
    </row>
    <row r="38" spans="44:45" x14ac:dyDescent="0.25">
      <c r="AR38" s="37"/>
    </row>
    <row r="39" spans="44:45" x14ac:dyDescent="0.25">
      <c r="AR39" s="37" t="s">
        <v>7</v>
      </c>
      <c r="AS39" s="22" t="s">
        <v>35</v>
      </c>
    </row>
    <row r="40" spans="44:45" x14ac:dyDescent="0.25">
      <c r="AR40" t="s">
        <v>30</v>
      </c>
      <c r="AS40" s="22">
        <v>74.722222222222229</v>
      </c>
    </row>
    <row r="41" spans="44:45" x14ac:dyDescent="0.25">
      <c r="AR41" t="s">
        <v>25</v>
      </c>
      <c r="AS41" s="22">
        <v>81.944444444444443</v>
      </c>
    </row>
    <row r="42" spans="44:45" x14ac:dyDescent="0.25">
      <c r="AR42" t="s">
        <v>3</v>
      </c>
      <c r="AS42" s="22">
        <v>83.055555555555557</v>
      </c>
    </row>
    <row r="43" spans="44:45" x14ac:dyDescent="0.25">
      <c r="AR43" t="s">
        <v>6</v>
      </c>
      <c r="AS43" s="22">
        <v>83.055555555555557</v>
      </c>
    </row>
    <row r="44" spans="44:45" x14ac:dyDescent="0.25">
      <c r="AR44" t="s">
        <v>1</v>
      </c>
      <c r="AS44" s="22">
        <v>83.333333333333329</v>
      </c>
    </row>
    <row r="45" spans="44:45" x14ac:dyDescent="0.25">
      <c r="AR45" t="s">
        <v>117</v>
      </c>
      <c r="AS45" s="22">
        <v>83.611111111111114</v>
      </c>
    </row>
    <row r="46" spans="44:45" x14ac:dyDescent="0.25">
      <c r="AR46" t="s">
        <v>4</v>
      </c>
      <c r="AS46" s="22">
        <v>84.166666666666671</v>
      </c>
    </row>
    <row r="47" spans="44:45" x14ac:dyDescent="0.25">
      <c r="AR47" t="s">
        <v>2</v>
      </c>
      <c r="AS47" s="22">
        <v>85.166666666666671</v>
      </c>
    </row>
    <row r="48" spans="44:45" x14ac:dyDescent="0.25">
      <c r="AR48" t="s">
        <v>5</v>
      </c>
      <c r="AS48" s="22">
        <v>86.166666666666671</v>
      </c>
    </row>
    <row r="49" spans="44:45" x14ac:dyDescent="0.25">
      <c r="AR49" t="s">
        <v>0</v>
      </c>
      <c r="AS49" s="22">
        <v>86.555555555555557</v>
      </c>
    </row>
    <row r="58" spans="44:45" x14ac:dyDescent="0.25">
      <c r="AS58"/>
    </row>
    <row r="59" spans="44:45" x14ac:dyDescent="0.25">
      <c r="AS59"/>
    </row>
    <row r="60" spans="44:45" x14ac:dyDescent="0.25">
      <c r="AS60"/>
    </row>
    <row r="61" spans="44:45" x14ac:dyDescent="0.25">
      <c r="AS61"/>
    </row>
    <row r="62" spans="44:45" x14ac:dyDescent="0.25">
      <c r="AS62"/>
    </row>
    <row r="63" spans="44:45" x14ac:dyDescent="0.25">
      <c r="AS63"/>
    </row>
    <row r="64" spans="44:45" x14ac:dyDescent="0.25">
      <c r="AS64"/>
    </row>
    <row r="65" spans="45:45" x14ac:dyDescent="0.25">
      <c r="AS65"/>
    </row>
    <row r="66" spans="45:45" x14ac:dyDescent="0.25">
      <c r="AS66"/>
    </row>
    <row r="67" spans="45:45" x14ac:dyDescent="0.25">
      <c r="AS67"/>
    </row>
  </sheetData>
  <mergeCells count="11">
    <mergeCell ref="AL3:AO3"/>
    <mergeCell ref="B2:AO2"/>
    <mergeCell ref="B3:E3"/>
    <mergeCell ref="F3:I3"/>
    <mergeCell ref="J3:M3"/>
    <mergeCell ref="N3:Q3"/>
    <mergeCell ref="R3:U3"/>
    <mergeCell ref="V3:Y3"/>
    <mergeCell ref="Z3:AC3"/>
    <mergeCell ref="AD3:AG3"/>
    <mergeCell ref="AH3:AK3"/>
  </mergeCells>
  <phoneticPr fontId="11" type="noConversion"/>
  <pageMargins left="0.7" right="0.7" top="0.75" bottom="0.75" header="0.3" footer="0.3"/>
  <pageSetup paperSize="8" scale="51"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8B236-981E-4407-982F-AF5EF6F1F1B3}">
  <sheetPr>
    <pageSetUpPr fitToPage="1"/>
  </sheetPr>
  <dimension ref="A2:AU67"/>
  <sheetViews>
    <sheetView topLeftCell="N1" zoomScale="60" zoomScaleNormal="60" workbookViewId="0">
      <selection activeCell="B3" sqref="B3:AO3"/>
    </sheetView>
  </sheetViews>
  <sheetFormatPr defaultRowHeight="15" x14ac:dyDescent="0.25"/>
  <cols>
    <col min="1" max="1" width="26.7109375" bestFit="1" customWidth="1"/>
    <col min="2" max="3" width="8.5703125" bestFit="1" customWidth="1"/>
    <col min="4" max="4" width="10" bestFit="1" customWidth="1"/>
    <col min="5" max="5" width="17.42578125" bestFit="1" customWidth="1"/>
    <col min="7" max="7" width="9.5703125" customWidth="1"/>
    <col min="8" max="8" width="10" style="30" customWidth="1"/>
    <col min="9" max="9" width="26" bestFit="1" customWidth="1"/>
    <col min="10" max="10" width="10.140625" customWidth="1"/>
    <col min="11" max="11" width="12.85546875" customWidth="1"/>
    <col min="12" max="12" width="11.140625" customWidth="1"/>
    <col min="13" max="13" width="21.7109375" bestFit="1" customWidth="1"/>
    <col min="14" max="14" width="10.85546875" customWidth="1"/>
    <col min="15" max="15" width="10.5703125" customWidth="1"/>
    <col min="16" max="16" width="10.42578125" customWidth="1"/>
    <col min="17" max="17" width="31.140625" bestFit="1" customWidth="1"/>
    <col min="18" max="18" width="8.5703125" customWidth="1"/>
    <col min="19" max="19" width="9.7109375" customWidth="1"/>
    <col min="20" max="20" width="10.5703125" customWidth="1"/>
    <col min="21" max="21" width="17.42578125" bestFit="1" customWidth="1"/>
    <col min="23" max="23" width="9.28515625" customWidth="1"/>
    <col min="24" max="24" width="9.85546875" customWidth="1"/>
    <col min="25" max="25" width="17.7109375" bestFit="1" customWidth="1"/>
    <col min="26" max="26" width="10.5703125" customWidth="1"/>
    <col min="27" max="27" width="11.85546875" customWidth="1"/>
    <col min="28" max="28" width="11" customWidth="1"/>
    <col min="29" max="29" width="11.5703125" bestFit="1" customWidth="1"/>
    <col min="30" max="30" width="9" bestFit="1" customWidth="1"/>
    <col min="31" max="31" width="9" customWidth="1"/>
    <col min="32" max="32" width="10" bestFit="1" customWidth="1"/>
    <col min="33" max="33" width="19.85546875" bestFit="1" customWidth="1"/>
    <col min="34" max="34" width="10.140625" style="1" customWidth="1"/>
    <col min="35" max="35" width="9.7109375" style="1" customWidth="1"/>
    <col min="36" max="36" width="10.7109375" style="1" customWidth="1"/>
    <col min="37" max="37" width="16" bestFit="1" customWidth="1"/>
    <col min="38" max="38" width="10" style="1" customWidth="1"/>
    <col min="39" max="39" width="10.42578125" style="1" customWidth="1"/>
    <col min="40" max="40" width="12.85546875" style="1" bestFit="1" customWidth="1"/>
    <col min="41" max="41" width="20.7109375" customWidth="1"/>
    <col min="44" max="44" width="36" bestFit="1" customWidth="1"/>
    <col min="45" max="45" width="28.140625" style="22" customWidth="1"/>
    <col min="46" max="46" width="33.85546875" customWidth="1"/>
  </cols>
  <sheetData>
    <row r="2" spans="1:47" ht="26.25" x14ac:dyDescent="0.25">
      <c r="B2" s="150" t="s">
        <v>27</v>
      </c>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row>
    <row r="3" spans="1:47" s="4" customFormat="1" ht="18.75" x14ac:dyDescent="0.3">
      <c r="B3" s="151" t="s">
        <v>25</v>
      </c>
      <c r="C3" s="151"/>
      <c r="D3" s="151"/>
      <c r="E3" s="151"/>
      <c r="F3" s="151" t="s">
        <v>30</v>
      </c>
      <c r="G3" s="151"/>
      <c r="H3" s="151"/>
      <c r="I3" s="151"/>
      <c r="J3" s="151" t="s">
        <v>0</v>
      </c>
      <c r="K3" s="151"/>
      <c r="L3" s="151"/>
      <c r="M3" s="151"/>
      <c r="N3" s="151" t="s">
        <v>117</v>
      </c>
      <c r="O3" s="151"/>
      <c r="P3" s="151"/>
      <c r="Q3" s="151"/>
      <c r="R3" s="151" t="s">
        <v>1</v>
      </c>
      <c r="S3" s="151"/>
      <c r="T3" s="151"/>
      <c r="U3" s="151"/>
      <c r="V3" s="151" t="s">
        <v>2</v>
      </c>
      <c r="W3" s="151"/>
      <c r="X3" s="151"/>
      <c r="Y3" s="151"/>
      <c r="Z3" s="151" t="s">
        <v>3</v>
      </c>
      <c r="AA3" s="151"/>
      <c r="AB3" s="151"/>
      <c r="AC3" s="151"/>
      <c r="AD3" s="151" t="s">
        <v>4</v>
      </c>
      <c r="AE3" s="151"/>
      <c r="AF3" s="151"/>
      <c r="AG3" s="151"/>
      <c r="AH3" s="151" t="s">
        <v>5</v>
      </c>
      <c r="AI3" s="151"/>
      <c r="AJ3" s="151"/>
      <c r="AK3" s="151"/>
      <c r="AL3" s="151" t="s">
        <v>6</v>
      </c>
      <c r="AM3" s="151"/>
      <c r="AN3" s="151"/>
      <c r="AO3" s="151"/>
      <c r="AS3" s="31"/>
    </row>
    <row r="4" spans="1:47" s="6" customFormat="1" ht="31.5" x14ac:dyDescent="0.25">
      <c r="A4" s="15" t="s">
        <v>26</v>
      </c>
      <c r="B4" s="5" t="s">
        <v>28</v>
      </c>
      <c r="C4" s="5" t="s">
        <v>29</v>
      </c>
      <c r="D4" s="5" t="s">
        <v>31</v>
      </c>
      <c r="E4" s="5" t="s">
        <v>32</v>
      </c>
      <c r="F4" s="5" t="s">
        <v>28</v>
      </c>
      <c r="G4" s="5" t="s">
        <v>29</v>
      </c>
      <c r="H4" s="26" t="s">
        <v>31</v>
      </c>
      <c r="I4" s="5" t="s">
        <v>32</v>
      </c>
      <c r="J4" s="5" t="s">
        <v>28</v>
      </c>
      <c r="K4" s="5" t="s">
        <v>29</v>
      </c>
      <c r="L4" s="5" t="s">
        <v>31</v>
      </c>
      <c r="M4" s="5" t="s">
        <v>32</v>
      </c>
      <c r="N4" s="5" t="s">
        <v>28</v>
      </c>
      <c r="O4" s="5" t="s">
        <v>29</v>
      </c>
      <c r="P4" s="5" t="s">
        <v>31</v>
      </c>
      <c r="Q4" s="5" t="s">
        <v>32</v>
      </c>
      <c r="R4" s="5" t="s">
        <v>28</v>
      </c>
      <c r="S4" s="5" t="s">
        <v>29</v>
      </c>
      <c r="T4" s="5" t="s">
        <v>31</v>
      </c>
      <c r="U4" s="5" t="s">
        <v>32</v>
      </c>
      <c r="V4" s="5" t="s">
        <v>28</v>
      </c>
      <c r="W4" s="5" t="s">
        <v>29</v>
      </c>
      <c r="X4" s="5" t="s">
        <v>31</v>
      </c>
      <c r="Y4" s="5" t="s">
        <v>32</v>
      </c>
      <c r="Z4" s="5" t="s">
        <v>28</v>
      </c>
      <c r="AA4" s="5" t="s">
        <v>29</v>
      </c>
      <c r="AB4" s="5" t="s">
        <v>31</v>
      </c>
      <c r="AC4" s="5" t="s">
        <v>32</v>
      </c>
      <c r="AD4" s="5" t="s">
        <v>28</v>
      </c>
      <c r="AE4" s="5" t="s">
        <v>29</v>
      </c>
      <c r="AF4" s="5" t="s">
        <v>31</v>
      </c>
      <c r="AG4" s="5" t="s">
        <v>32</v>
      </c>
      <c r="AH4" s="5" t="s">
        <v>28</v>
      </c>
      <c r="AI4" s="5" t="s">
        <v>29</v>
      </c>
      <c r="AJ4" s="5" t="s">
        <v>31</v>
      </c>
      <c r="AK4" s="5" t="s">
        <v>32</v>
      </c>
      <c r="AL4" s="5" t="s">
        <v>28</v>
      </c>
      <c r="AM4" s="5" t="s">
        <v>29</v>
      </c>
      <c r="AN4" s="5" t="s">
        <v>31</v>
      </c>
      <c r="AO4" s="5" t="s">
        <v>32</v>
      </c>
      <c r="AR4" s="20" t="s">
        <v>7</v>
      </c>
      <c r="AS4" s="21" t="s">
        <v>34</v>
      </c>
      <c r="AT4" s="20" t="s">
        <v>35</v>
      </c>
    </row>
    <row r="5" spans="1:47" s="10" customFormat="1" ht="18.75" x14ac:dyDescent="0.3">
      <c r="A5" s="16" t="s">
        <v>25</v>
      </c>
      <c r="B5" s="7">
        <v>95</v>
      </c>
      <c r="C5" s="7">
        <v>100</v>
      </c>
      <c r="D5" s="7">
        <f>AVERAGE(B5:C5)</f>
        <v>97.5</v>
      </c>
      <c r="E5" s="24" t="s">
        <v>113</v>
      </c>
      <c r="F5" s="3"/>
      <c r="G5" s="3"/>
      <c r="H5" s="27">
        <v>100</v>
      </c>
      <c r="I5" s="24" t="s">
        <v>19</v>
      </c>
      <c r="J5" s="7"/>
      <c r="K5" s="7"/>
      <c r="L5" s="7">
        <v>100</v>
      </c>
      <c r="M5" s="24" t="s">
        <v>38</v>
      </c>
      <c r="N5" s="9">
        <v>95</v>
      </c>
      <c r="O5" s="9">
        <v>100</v>
      </c>
      <c r="P5" s="8">
        <f t="shared" ref="P5:P6" si="0">AVERAGE(N5:O5)</f>
        <v>97.5</v>
      </c>
      <c r="Q5" s="9" t="s">
        <v>114</v>
      </c>
      <c r="R5" s="7">
        <v>85</v>
      </c>
      <c r="S5" s="7">
        <v>90</v>
      </c>
      <c r="T5" s="7">
        <f t="shared" ref="T5:T12" si="1">AVERAGE(R5:S5)</f>
        <v>87.5</v>
      </c>
      <c r="U5" s="33" t="s">
        <v>38</v>
      </c>
      <c r="V5" s="7"/>
      <c r="W5" s="7"/>
      <c r="X5" s="7">
        <v>100</v>
      </c>
      <c r="Y5" s="9" t="s">
        <v>38</v>
      </c>
      <c r="Z5" s="7"/>
      <c r="AA5" s="7"/>
      <c r="AB5" s="7">
        <v>80</v>
      </c>
      <c r="AC5" s="24" t="s">
        <v>47</v>
      </c>
      <c r="AD5" s="9"/>
      <c r="AE5" s="9"/>
      <c r="AF5" s="7">
        <v>100</v>
      </c>
      <c r="AG5" s="38" t="s">
        <v>8</v>
      </c>
      <c r="AH5" s="7">
        <v>80</v>
      </c>
      <c r="AI5" s="7">
        <v>90</v>
      </c>
      <c r="AJ5" s="3">
        <f t="shared" ref="AJ5:AJ8" si="2">AVERAGE(AH5:AI5)</f>
        <v>85</v>
      </c>
      <c r="AK5" s="38" t="s">
        <v>11</v>
      </c>
      <c r="AL5" s="7"/>
      <c r="AM5" s="7"/>
      <c r="AN5" s="7">
        <v>0</v>
      </c>
      <c r="AO5" s="8" t="s">
        <v>10</v>
      </c>
      <c r="AR5" s="18" t="s">
        <v>25</v>
      </c>
      <c r="AS5" s="21">
        <f>D15</f>
        <v>96</v>
      </c>
      <c r="AT5" s="21">
        <f>AVERAGE(D5,H5,L5,T5,X5,AB5,AF5,AJ5,AN5)</f>
        <v>83.333333333333329</v>
      </c>
    </row>
    <row r="6" spans="1:47" s="10" customFormat="1" ht="18.75" x14ac:dyDescent="0.3">
      <c r="A6" s="17" t="s">
        <v>30</v>
      </c>
      <c r="B6" s="3">
        <v>90</v>
      </c>
      <c r="C6" s="3">
        <v>100</v>
      </c>
      <c r="D6" s="7">
        <f t="shared" ref="D6:D14" si="3">AVERAGE(B6:C6)</f>
        <v>95</v>
      </c>
      <c r="E6" s="24" t="s">
        <v>113</v>
      </c>
      <c r="F6" s="12"/>
      <c r="G6" s="12"/>
      <c r="H6" s="28">
        <v>100</v>
      </c>
      <c r="I6" s="24" t="s">
        <v>57</v>
      </c>
      <c r="J6" s="3">
        <v>85</v>
      </c>
      <c r="K6" s="3">
        <v>90</v>
      </c>
      <c r="L6" s="7">
        <f t="shared" ref="L6:L14" si="4">AVERAGE(J6:K6)</f>
        <v>87.5</v>
      </c>
      <c r="M6" s="24" t="s">
        <v>11</v>
      </c>
      <c r="N6" s="8">
        <v>90</v>
      </c>
      <c r="O6" s="8">
        <v>95</v>
      </c>
      <c r="P6" s="8">
        <f t="shared" si="0"/>
        <v>92.5</v>
      </c>
      <c r="Q6" s="9" t="s">
        <v>114</v>
      </c>
      <c r="R6" s="7">
        <v>95</v>
      </c>
      <c r="S6" s="7">
        <v>100</v>
      </c>
      <c r="T6" s="7">
        <f t="shared" si="1"/>
        <v>97.5</v>
      </c>
      <c r="U6" s="33" t="s">
        <v>11</v>
      </c>
      <c r="V6" s="3"/>
      <c r="W6" s="3"/>
      <c r="X6" s="36">
        <v>100</v>
      </c>
      <c r="Y6" s="9" t="s">
        <v>38</v>
      </c>
      <c r="Z6" s="3"/>
      <c r="AA6" s="3"/>
      <c r="AB6" s="7">
        <v>90</v>
      </c>
      <c r="AC6" s="24" t="s">
        <v>47</v>
      </c>
      <c r="AD6" s="8"/>
      <c r="AE6" s="8"/>
      <c r="AF6" s="3">
        <v>80</v>
      </c>
      <c r="AG6" s="38" t="s">
        <v>8</v>
      </c>
      <c r="AH6" s="7">
        <v>85</v>
      </c>
      <c r="AI6" s="3">
        <v>95</v>
      </c>
      <c r="AJ6" s="3">
        <f t="shared" si="2"/>
        <v>90</v>
      </c>
      <c r="AK6" s="38" t="s">
        <v>11</v>
      </c>
      <c r="AL6" s="3"/>
      <c r="AM6" s="3"/>
      <c r="AN6" s="3">
        <v>0</v>
      </c>
      <c r="AO6" s="8" t="s">
        <v>10</v>
      </c>
      <c r="AR6" s="18" t="s">
        <v>30</v>
      </c>
      <c r="AS6" s="21">
        <f>H15</f>
        <v>100</v>
      </c>
      <c r="AT6" s="21">
        <f t="shared" ref="AT6:AT14" si="5">AVERAGE(D6,H6,L6,T6,X6,AB6,AF6,AJ6,AN6)</f>
        <v>82.222222222222229</v>
      </c>
    </row>
    <row r="7" spans="1:47" s="10" customFormat="1" ht="18.75" x14ac:dyDescent="0.3">
      <c r="A7" s="17" t="s">
        <v>0</v>
      </c>
      <c r="B7" s="3">
        <v>95</v>
      </c>
      <c r="C7" s="3">
        <v>100</v>
      </c>
      <c r="D7" s="7">
        <f t="shared" si="3"/>
        <v>97.5</v>
      </c>
      <c r="E7" s="24" t="s">
        <v>113</v>
      </c>
      <c r="F7" s="12"/>
      <c r="G7" s="12"/>
      <c r="H7" s="28">
        <v>100</v>
      </c>
      <c r="I7" s="24" t="s">
        <v>57</v>
      </c>
      <c r="J7" s="3">
        <v>70</v>
      </c>
      <c r="K7" s="3">
        <v>80</v>
      </c>
      <c r="L7" s="7">
        <f t="shared" si="4"/>
        <v>75</v>
      </c>
      <c r="M7" s="8" t="s">
        <v>49</v>
      </c>
      <c r="N7" s="8">
        <v>95</v>
      </c>
      <c r="O7" s="8">
        <v>100</v>
      </c>
      <c r="P7" s="8">
        <f>AVERAGE(N7:O7)</f>
        <v>97.5</v>
      </c>
      <c r="Q7" s="9" t="s">
        <v>114</v>
      </c>
      <c r="R7" s="7">
        <v>85</v>
      </c>
      <c r="S7" s="7">
        <v>95</v>
      </c>
      <c r="T7" s="7">
        <f t="shared" si="1"/>
        <v>90</v>
      </c>
      <c r="U7" s="33" t="s">
        <v>51</v>
      </c>
      <c r="V7" s="3"/>
      <c r="W7" s="3"/>
      <c r="X7" s="36">
        <v>100</v>
      </c>
      <c r="Y7" s="9" t="s">
        <v>38</v>
      </c>
      <c r="Z7" s="3"/>
      <c r="AA7" s="3"/>
      <c r="AB7" s="7">
        <v>85</v>
      </c>
      <c r="AC7" s="24" t="s">
        <v>47</v>
      </c>
      <c r="AD7" s="8"/>
      <c r="AE7" s="8"/>
      <c r="AF7" s="3">
        <v>90</v>
      </c>
      <c r="AG7" s="38" t="s">
        <v>8</v>
      </c>
      <c r="AH7" s="7">
        <v>85</v>
      </c>
      <c r="AI7" s="3">
        <v>95</v>
      </c>
      <c r="AJ7" s="3">
        <f t="shared" si="2"/>
        <v>90</v>
      </c>
      <c r="AK7" s="38" t="s">
        <v>11</v>
      </c>
      <c r="AL7" s="3"/>
      <c r="AM7" s="3"/>
      <c r="AN7" s="3">
        <v>0</v>
      </c>
      <c r="AO7" s="8" t="s">
        <v>10</v>
      </c>
      <c r="AR7" s="18" t="s">
        <v>0</v>
      </c>
      <c r="AS7" s="21">
        <f>L15</f>
        <v>83.5</v>
      </c>
      <c r="AT7" s="21">
        <f t="shared" si="5"/>
        <v>80.833333333333329</v>
      </c>
    </row>
    <row r="8" spans="1:47" s="10" customFormat="1" ht="18.75" x14ac:dyDescent="0.3">
      <c r="A8" s="17" t="s">
        <v>117</v>
      </c>
      <c r="B8" s="3">
        <v>90</v>
      </c>
      <c r="C8" s="3">
        <v>100</v>
      </c>
      <c r="D8" s="7">
        <f t="shared" si="3"/>
        <v>95</v>
      </c>
      <c r="E8" s="24" t="s">
        <v>113</v>
      </c>
      <c r="F8" s="12"/>
      <c r="G8" s="12"/>
      <c r="H8" s="28">
        <v>100</v>
      </c>
      <c r="I8" s="24" t="s">
        <v>19</v>
      </c>
      <c r="J8" s="3">
        <v>95</v>
      </c>
      <c r="K8" s="3">
        <v>100</v>
      </c>
      <c r="L8" s="7">
        <f t="shared" si="4"/>
        <v>97.5</v>
      </c>
      <c r="M8" s="24" t="s">
        <v>38</v>
      </c>
      <c r="N8" s="8">
        <v>95</v>
      </c>
      <c r="O8" s="8">
        <v>100</v>
      </c>
      <c r="P8" s="8">
        <f t="shared" ref="P8:P14" si="6">AVERAGE(N8:O8)</f>
        <v>97.5</v>
      </c>
      <c r="Q8" s="9" t="s">
        <v>114</v>
      </c>
      <c r="R8" s="7">
        <v>90</v>
      </c>
      <c r="S8" s="7">
        <v>95</v>
      </c>
      <c r="T8" s="7">
        <f t="shared" si="1"/>
        <v>92.5</v>
      </c>
      <c r="U8" s="33" t="s">
        <v>51</v>
      </c>
      <c r="V8" s="3"/>
      <c r="W8" s="3"/>
      <c r="X8" s="36">
        <v>100</v>
      </c>
      <c r="Y8" s="9" t="s">
        <v>38</v>
      </c>
      <c r="Z8" s="3"/>
      <c r="AA8" s="3"/>
      <c r="AB8" s="7">
        <v>80</v>
      </c>
      <c r="AC8" s="24" t="s">
        <v>47</v>
      </c>
      <c r="AD8" s="8"/>
      <c r="AE8" s="8"/>
      <c r="AF8" s="3">
        <v>95</v>
      </c>
      <c r="AG8" s="38" t="s">
        <v>8</v>
      </c>
      <c r="AH8" s="3">
        <v>90</v>
      </c>
      <c r="AI8" s="3">
        <v>100</v>
      </c>
      <c r="AJ8" s="3">
        <f t="shared" si="2"/>
        <v>95</v>
      </c>
      <c r="AK8" s="38" t="s">
        <v>11</v>
      </c>
      <c r="AL8" s="3"/>
      <c r="AM8" s="3"/>
      <c r="AN8" s="3">
        <v>0</v>
      </c>
      <c r="AO8" s="8" t="s">
        <v>10</v>
      </c>
      <c r="AR8" s="18" t="s">
        <v>117</v>
      </c>
      <c r="AS8" s="21">
        <f>P15</f>
        <v>80.25</v>
      </c>
      <c r="AT8" s="21">
        <f t="shared" si="5"/>
        <v>83.888888888888886</v>
      </c>
    </row>
    <row r="9" spans="1:47" s="10" customFormat="1" ht="18.75" x14ac:dyDescent="0.3">
      <c r="A9" s="17" t="s">
        <v>1</v>
      </c>
      <c r="B9" s="3">
        <v>95</v>
      </c>
      <c r="C9" s="3">
        <v>100</v>
      </c>
      <c r="D9" s="7">
        <f t="shared" si="3"/>
        <v>97.5</v>
      </c>
      <c r="E9" s="24" t="s">
        <v>113</v>
      </c>
      <c r="F9" s="12"/>
      <c r="G9" s="12"/>
      <c r="H9" s="28">
        <v>100</v>
      </c>
      <c r="I9" s="24" t="s">
        <v>57</v>
      </c>
      <c r="J9" s="3">
        <v>90</v>
      </c>
      <c r="K9" s="3">
        <v>95</v>
      </c>
      <c r="L9" s="7">
        <f t="shared" si="4"/>
        <v>92.5</v>
      </c>
      <c r="M9" s="24" t="s">
        <v>11</v>
      </c>
      <c r="N9" s="8">
        <v>95</v>
      </c>
      <c r="O9" s="8">
        <v>100</v>
      </c>
      <c r="P9" s="8">
        <f t="shared" si="6"/>
        <v>97.5</v>
      </c>
      <c r="Q9" s="9" t="s">
        <v>114</v>
      </c>
      <c r="R9" s="7">
        <v>90</v>
      </c>
      <c r="S9" s="7">
        <v>95</v>
      </c>
      <c r="T9" s="7">
        <f t="shared" si="1"/>
        <v>92.5</v>
      </c>
      <c r="U9" s="33" t="s">
        <v>11</v>
      </c>
      <c r="V9" s="3"/>
      <c r="W9" s="3"/>
      <c r="X9" s="3">
        <v>100</v>
      </c>
      <c r="Y9" s="9" t="s">
        <v>38</v>
      </c>
      <c r="Z9" s="7"/>
      <c r="AA9" s="7"/>
      <c r="AB9" s="7">
        <v>85</v>
      </c>
      <c r="AC9" s="24" t="s">
        <v>47</v>
      </c>
      <c r="AD9" s="8"/>
      <c r="AE9" s="8"/>
      <c r="AF9" s="3">
        <v>90</v>
      </c>
      <c r="AG9" s="38" t="s">
        <v>8</v>
      </c>
      <c r="AH9" s="3">
        <v>90</v>
      </c>
      <c r="AI9" s="3">
        <v>100</v>
      </c>
      <c r="AJ9" s="3">
        <f>AVERAGE(AH9:AI9)</f>
        <v>95</v>
      </c>
      <c r="AK9" s="38" t="s">
        <v>11</v>
      </c>
      <c r="AL9" s="3"/>
      <c r="AM9" s="3"/>
      <c r="AN9" s="3">
        <v>0</v>
      </c>
      <c r="AO9" s="8" t="s">
        <v>10</v>
      </c>
      <c r="AR9" s="18" t="s">
        <v>1</v>
      </c>
      <c r="AS9" s="21">
        <f>T15</f>
        <v>91.75</v>
      </c>
      <c r="AT9" s="21">
        <f t="shared" si="5"/>
        <v>83.611111111111114</v>
      </c>
    </row>
    <row r="10" spans="1:47" s="10" customFormat="1" ht="18.75" x14ac:dyDescent="0.3">
      <c r="A10" s="17" t="s">
        <v>2</v>
      </c>
      <c r="B10" s="3">
        <v>95</v>
      </c>
      <c r="C10" s="3">
        <v>100</v>
      </c>
      <c r="D10" s="7">
        <f t="shared" si="3"/>
        <v>97.5</v>
      </c>
      <c r="E10" s="24" t="s">
        <v>11</v>
      </c>
      <c r="F10" s="12"/>
      <c r="G10" s="12"/>
      <c r="H10" s="29">
        <v>100</v>
      </c>
      <c r="I10" s="24" t="s">
        <v>19</v>
      </c>
      <c r="J10" s="3"/>
      <c r="K10" s="3"/>
      <c r="L10" s="7">
        <v>100</v>
      </c>
      <c r="M10" s="24" t="s">
        <v>11</v>
      </c>
      <c r="N10" s="8">
        <v>95</v>
      </c>
      <c r="O10" s="8">
        <v>100</v>
      </c>
      <c r="P10" s="8">
        <f t="shared" si="6"/>
        <v>97.5</v>
      </c>
      <c r="Q10" s="9" t="s">
        <v>114</v>
      </c>
      <c r="R10" s="7">
        <v>90</v>
      </c>
      <c r="S10" s="7">
        <v>95</v>
      </c>
      <c r="T10" s="7">
        <f t="shared" si="1"/>
        <v>92.5</v>
      </c>
      <c r="U10" s="33" t="s">
        <v>51</v>
      </c>
      <c r="V10" s="3"/>
      <c r="W10" s="3"/>
      <c r="X10" s="3">
        <v>100</v>
      </c>
      <c r="Y10" s="9" t="s">
        <v>38</v>
      </c>
      <c r="Z10" s="3"/>
      <c r="AA10" s="3"/>
      <c r="AB10" s="7">
        <v>90</v>
      </c>
      <c r="AC10" s="24" t="s">
        <v>47</v>
      </c>
      <c r="AD10" s="8"/>
      <c r="AE10" s="8"/>
      <c r="AF10" s="3">
        <v>95</v>
      </c>
      <c r="AG10" s="38" t="s">
        <v>8</v>
      </c>
      <c r="AH10" s="3">
        <v>95</v>
      </c>
      <c r="AI10" s="3">
        <v>100</v>
      </c>
      <c r="AJ10" s="3">
        <f t="shared" ref="AJ10:AJ14" si="7">AVERAGE(AH10:AI10)</f>
        <v>97.5</v>
      </c>
      <c r="AK10" s="38" t="s">
        <v>11</v>
      </c>
      <c r="AL10" s="3"/>
      <c r="AM10" s="3"/>
      <c r="AN10" s="3">
        <v>0</v>
      </c>
      <c r="AO10" s="8" t="s">
        <v>10</v>
      </c>
      <c r="AR10" s="18" t="s">
        <v>2</v>
      </c>
      <c r="AS10" s="21">
        <f>X15</f>
        <v>98.5</v>
      </c>
      <c r="AT10" s="21">
        <f t="shared" si="5"/>
        <v>85.833333333333329</v>
      </c>
    </row>
    <row r="11" spans="1:47" s="10" customFormat="1" ht="18.75" customHeight="1" x14ac:dyDescent="0.3">
      <c r="A11" s="17" t="s">
        <v>3</v>
      </c>
      <c r="B11" s="3">
        <v>90</v>
      </c>
      <c r="C11" s="3">
        <v>100</v>
      </c>
      <c r="D11" s="7">
        <f t="shared" si="3"/>
        <v>95</v>
      </c>
      <c r="E11" s="24" t="s">
        <v>11</v>
      </c>
      <c r="F11" s="12"/>
      <c r="G11" s="12"/>
      <c r="H11" s="29">
        <v>100</v>
      </c>
      <c r="I11" s="24" t="s">
        <v>73</v>
      </c>
      <c r="J11" s="3"/>
      <c r="K11" s="3"/>
      <c r="L11" s="7">
        <v>100</v>
      </c>
      <c r="M11" s="24" t="s">
        <v>38</v>
      </c>
      <c r="N11" s="8">
        <v>95</v>
      </c>
      <c r="O11" s="8">
        <v>100</v>
      </c>
      <c r="P11" s="8">
        <f t="shared" si="6"/>
        <v>97.5</v>
      </c>
      <c r="Q11" s="9" t="s">
        <v>114</v>
      </c>
      <c r="R11" s="7">
        <v>90</v>
      </c>
      <c r="S11" s="7">
        <v>95</v>
      </c>
      <c r="T11" s="7">
        <f t="shared" si="1"/>
        <v>92.5</v>
      </c>
      <c r="U11" s="33" t="s">
        <v>51</v>
      </c>
      <c r="V11" s="3"/>
      <c r="W11" s="3"/>
      <c r="X11" s="3">
        <v>100</v>
      </c>
      <c r="Y11" s="9" t="s">
        <v>38</v>
      </c>
      <c r="Z11" s="3"/>
      <c r="AA11" s="3"/>
      <c r="AB11" s="7">
        <v>85</v>
      </c>
      <c r="AC11" s="24" t="s">
        <v>47</v>
      </c>
      <c r="AD11" s="8"/>
      <c r="AE11" s="8"/>
      <c r="AF11" s="3">
        <v>95</v>
      </c>
      <c r="AG11" s="38" t="s">
        <v>8</v>
      </c>
      <c r="AH11" s="3">
        <v>95</v>
      </c>
      <c r="AI11" s="3">
        <v>100</v>
      </c>
      <c r="AJ11" s="3">
        <f t="shared" si="7"/>
        <v>97.5</v>
      </c>
      <c r="AK11" s="38" t="s">
        <v>11</v>
      </c>
      <c r="AL11" s="3"/>
      <c r="AM11" s="3"/>
      <c r="AN11" s="3">
        <v>0</v>
      </c>
      <c r="AO11" s="8" t="s">
        <v>10</v>
      </c>
      <c r="AR11" s="18" t="s">
        <v>3</v>
      </c>
      <c r="AS11" s="32">
        <f>AB15</f>
        <v>85</v>
      </c>
      <c r="AT11" s="21">
        <f t="shared" si="5"/>
        <v>85</v>
      </c>
      <c r="AU11" s="4"/>
    </row>
    <row r="12" spans="1:47" s="10" customFormat="1" ht="20.25" customHeight="1" x14ac:dyDescent="0.3">
      <c r="A12" s="17" t="s">
        <v>4</v>
      </c>
      <c r="B12" s="3">
        <v>90</v>
      </c>
      <c r="C12" s="3">
        <v>100</v>
      </c>
      <c r="D12" s="7">
        <f t="shared" si="3"/>
        <v>95</v>
      </c>
      <c r="E12" s="24" t="s">
        <v>11</v>
      </c>
      <c r="F12" s="12"/>
      <c r="G12" s="12"/>
      <c r="H12" s="29">
        <v>100</v>
      </c>
      <c r="I12" s="24" t="s">
        <v>57</v>
      </c>
      <c r="J12" s="3">
        <v>60</v>
      </c>
      <c r="K12" s="3">
        <v>70</v>
      </c>
      <c r="L12" s="7">
        <f t="shared" si="4"/>
        <v>65</v>
      </c>
      <c r="M12" s="8" t="s">
        <v>49</v>
      </c>
      <c r="N12" s="8">
        <v>20</v>
      </c>
      <c r="O12" s="8">
        <v>30</v>
      </c>
      <c r="P12" s="8">
        <f t="shared" si="6"/>
        <v>25</v>
      </c>
      <c r="Q12" s="9" t="s">
        <v>10</v>
      </c>
      <c r="R12" s="7">
        <v>85</v>
      </c>
      <c r="S12" s="7">
        <v>95</v>
      </c>
      <c r="T12" s="7">
        <f t="shared" si="1"/>
        <v>90</v>
      </c>
      <c r="U12" s="33" t="s">
        <v>51</v>
      </c>
      <c r="V12" s="3"/>
      <c r="W12" s="3"/>
      <c r="X12" s="3">
        <v>100</v>
      </c>
      <c r="Y12" s="9" t="s">
        <v>38</v>
      </c>
      <c r="Z12" s="3"/>
      <c r="AA12" s="3"/>
      <c r="AB12" s="7">
        <v>80</v>
      </c>
      <c r="AC12" s="24" t="s">
        <v>47</v>
      </c>
      <c r="AD12" s="8"/>
      <c r="AE12" s="8"/>
      <c r="AF12" s="3">
        <v>90</v>
      </c>
      <c r="AG12" s="38" t="s">
        <v>8</v>
      </c>
      <c r="AH12" s="3">
        <v>95</v>
      </c>
      <c r="AI12" s="3">
        <v>100</v>
      </c>
      <c r="AJ12" s="3">
        <f t="shared" si="7"/>
        <v>97.5</v>
      </c>
      <c r="AK12" s="38" t="s">
        <v>11</v>
      </c>
      <c r="AL12" s="3"/>
      <c r="AM12" s="3"/>
      <c r="AN12" s="3">
        <v>0</v>
      </c>
      <c r="AO12" s="8" t="s">
        <v>10</v>
      </c>
      <c r="AR12" s="18" t="s">
        <v>4</v>
      </c>
      <c r="AS12" s="21">
        <f>AF15</f>
        <v>91</v>
      </c>
      <c r="AT12" s="21">
        <f t="shared" si="5"/>
        <v>79.722222222222229</v>
      </c>
    </row>
    <row r="13" spans="1:47" s="10" customFormat="1" ht="21" customHeight="1" x14ac:dyDescent="0.3">
      <c r="A13" s="17" t="s">
        <v>5</v>
      </c>
      <c r="B13" s="3">
        <v>90</v>
      </c>
      <c r="C13" s="3">
        <v>100</v>
      </c>
      <c r="D13" s="7">
        <f t="shared" si="3"/>
        <v>95</v>
      </c>
      <c r="E13" s="24" t="s">
        <v>11</v>
      </c>
      <c r="F13" s="12"/>
      <c r="G13" s="12"/>
      <c r="H13" s="29">
        <v>100</v>
      </c>
      <c r="I13" s="24" t="s">
        <v>115</v>
      </c>
      <c r="J13" s="3">
        <v>20</v>
      </c>
      <c r="K13" s="3">
        <v>30</v>
      </c>
      <c r="L13" s="7">
        <f t="shared" si="4"/>
        <v>25</v>
      </c>
      <c r="M13" s="8" t="s">
        <v>11</v>
      </c>
      <c r="N13" s="11">
        <v>5</v>
      </c>
      <c r="O13" s="11">
        <v>10</v>
      </c>
      <c r="P13" s="8">
        <f>AVERAGE(N13:O13)</f>
        <v>7.5</v>
      </c>
      <c r="Q13" s="9" t="s">
        <v>10</v>
      </c>
      <c r="R13" s="7">
        <v>90</v>
      </c>
      <c r="S13" s="7">
        <v>95</v>
      </c>
      <c r="T13" s="7">
        <f>AVERAGE(R13:S13)</f>
        <v>92.5</v>
      </c>
      <c r="U13" s="33" t="s">
        <v>51</v>
      </c>
      <c r="V13" s="3">
        <v>80</v>
      </c>
      <c r="W13" s="3">
        <v>90</v>
      </c>
      <c r="X13" s="3">
        <f>AVERAGE(V13:W13)</f>
        <v>85</v>
      </c>
      <c r="Y13" s="9" t="s">
        <v>38</v>
      </c>
      <c r="Z13" s="3"/>
      <c r="AA13" s="3"/>
      <c r="AB13" s="7">
        <v>85</v>
      </c>
      <c r="AC13" s="24" t="s">
        <v>47</v>
      </c>
      <c r="AD13" s="8"/>
      <c r="AE13" s="8"/>
      <c r="AF13" s="3">
        <v>80</v>
      </c>
      <c r="AG13" s="38" t="s">
        <v>8</v>
      </c>
      <c r="AH13" s="3">
        <v>95</v>
      </c>
      <c r="AI13" s="3">
        <v>100</v>
      </c>
      <c r="AJ13" s="3">
        <f t="shared" si="7"/>
        <v>97.5</v>
      </c>
      <c r="AK13" s="38" t="s">
        <v>11</v>
      </c>
      <c r="AL13" s="3"/>
      <c r="AM13" s="3"/>
      <c r="AN13" s="3">
        <v>0</v>
      </c>
      <c r="AO13" s="8" t="s">
        <v>10</v>
      </c>
      <c r="AR13" s="18" t="s">
        <v>5</v>
      </c>
      <c r="AS13" s="21">
        <f>AJ15</f>
        <v>94.25</v>
      </c>
      <c r="AT13" s="21">
        <f t="shared" si="5"/>
        <v>73.333333333333329</v>
      </c>
    </row>
    <row r="14" spans="1:47" s="10" customFormat="1" ht="19.5" customHeight="1" x14ac:dyDescent="0.3">
      <c r="A14" s="17" t="s">
        <v>6</v>
      </c>
      <c r="B14" s="3">
        <v>90</v>
      </c>
      <c r="C14" s="3">
        <v>100</v>
      </c>
      <c r="D14" s="7">
        <f t="shared" si="3"/>
        <v>95</v>
      </c>
      <c r="E14" s="24" t="s">
        <v>113</v>
      </c>
      <c r="F14" s="12"/>
      <c r="G14" s="12"/>
      <c r="H14" s="29">
        <v>100</v>
      </c>
      <c r="I14" s="24" t="s">
        <v>116</v>
      </c>
      <c r="J14" s="3">
        <v>90</v>
      </c>
      <c r="K14" s="3">
        <v>95</v>
      </c>
      <c r="L14" s="3">
        <f t="shared" si="4"/>
        <v>92.5</v>
      </c>
      <c r="M14" s="24" t="s">
        <v>38</v>
      </c>
      <c r="N14" s="8">
        <v>90</v>
      </c>
      <c r="O14" s="8">
        <v>95</v>
      </c>
      <c r="P14" s="8">
        <f t="shared" si="6"/>
        <v>92.5</v>
      </c>
      <c r="Q14" s="9" t="s">
        <v>114</v>
      </c>
      <c r="R14" s="3">
        <v>85</v>
      </c>
      <c r="S14" s="3">
        <v>95</v>
      </c>
      <c r="T14" s="7">
        <f>AVERAGE(R14:S14)</f>
        <v>90</v>
      </c>
      <c r="U14" s="33" t="s">
        <v>51</v>
      </c>
      <c r="V14" s="3"/>
      <c r="W14" s="3"/>
      <c r="X14" s="3">
        <v>100</v>
      </c>
      <c r="Y14" s="9" t="s">
        <v>38</v>
      </c>
      <c r="Z14" s="3"/>
      <c r="AA14" s="3"/>
      <c r="AB14" s="7">
        <v>90</v>
      </c>
      <c r="AC14" s="24" t="s">
        <v>47</v>
      </c>
      <c r="AD14" s="8"/>
      <c r="AE14" s="8"/>
      <c r="AF14" s="3">
        <v>95</v>
      </c>
      <c r="AG14" s="38" t="s">
        <v>8</v>
      </c>
      <c r="AH14" s="3">
        <v>95</v>
      </c>
      <c r="AI14" s="3">
        <v>100</v>
      </c>
      <c r="AJ14" s="3">
        <f t="shared" si="7"/>
        <v>97.5</v>
      </c>
      <c r="AK14" s="38" t="s">
        <v>11</v>
      </c>
      <c r="AL14" s="3"/>
      <c r="AM14" s="3"/>
      <c r="AN14" s="3">
        <v>0</v>
      </c>
      <c r="AO14" s="8" t="s">
        <v>10</v>
      </c>
      <c r="AR14" s="18" t="s">
        <v>6</v>
      </c>
      <c r="AS14" s="21">
        <f>AN15</f>
        <v>0</v>
      </c>
      <c r="AT14" s="21">
        <f t="shared" si="5"/>
        <v>84.444444444444443</v>
      </c>
    </row>
    <row r="15" spans="1:47" ht="18.75" x14ac:dyDescent="0.3">
      <c r="A15" s="19" t="s">
        <v>33</v>
      </c>
      <c r="B15" s="19"/>
      <c r="C15" s="19"/>
      <c r="D15" s="19">
        <f>AVERAGE(D5:D14)</f>
        <v>96</v>
      </c>
      <c r="E15" s="19"/>
      <c r="F15" s="19"/>
      <c r="G15" s="19"/>
      <c r="H15" s="40">
        <f t="shared" ref="H15:AN15" si="8">AVERAGE(H5:H14)</f>
        <v>100</v>
      </c>
      <c r="I15" s="19"/>
      <c r="J15" s="19"/>
      <c r="K15" s="19"/>
      <c r="L15" s="19">
        <f t="shared" si="8"/>
        <v>83.5</v>
      </c>
      <c r="M15" s="19"/>
      <c r="N15" s="19"/>
      <c r="O15" s="19"/>
      <c r="P15" s="19">
        <f>AVERAGE(P5:P14)</f>
        <v>80.25</v>
      </c>
      <c r="Q15" s="19"/>
      <c r="R15" s="19"/>
      <c r="S15" s="19"/>
      <c r="T15" s="19">
        <f t="shared" si="8"/>
        <v>91.75</v>
      </c>
      <c r="U15" s="19"/>
      <c r="V15" s="19"/>
      <c r="W15" s="19"/>
      <c r="X15" s="19">
        <f t="shared" si="8"/>
        <v>98.5</v>
      </c>
      <c r="Y15" s="19"/>
      <c r="Z15" s="19"/>
      <c r="AA15" s="19"/>
      <c r="AB15" s="35">
        <f t="shared" si="8"/>
        <v>85</v>
      </c>
      <c r="AC15" s="19"/>
      <c r="AD15" s="19"/>
      <c r="AE15" s="19"/>
      <c r="AF15" s="19">
        <f t="shared" si="8"/>
        <v>91</v>
      </c>
      <c r="AG15" s="19"/>
      <c r="AH15" s="19"/>
      <c r="AI15" s="19"/>
      <c r="AJ15" s="35">
        <f t="shared" si="8"/>
        <v>94.25</v>
      </c>
      <c r="AK15" s="19"/>
      <c r="AL15" s="19"/>
      <c r="AM15" s="19"/>
      <c r="AN15" s="19">
        <f t="shared" si="8"/>
        <v>0</v>
      </c>
      <c r="AO15" s="19"/>
    </row>
    <row r="16" spans="1:47" x14ac:dyDescent="0.25">
      <c r="AL16" s="2"/>
      <c r="AM16" s="2"/>
      <c r="AN16" s="2"/>
    </row>
    <row r="25" spans="44:45" x14ac:dyDescent="0.25">
      <c r="AR25" s="37" t="s">
        <v>7</v>
      </c>
      <c r="AS25" s="22" t="s">
        <v>34</v>
      </c>
    </row>
    <row r="26" spans="44:45" x14ac:dyDescent="0.25">
      <c r="AR26" t="s">
        <v>6</v>
      </c>
      <c r="AS26" s="39">
        <v>0</v>
      </c>
    </row>
    <row r="27" spans="44:45" x14ac:dyDescent="0.25">
      <c r="AR27" t="s">
        <v>117</v>
      </c>
      <c r="AS27" s="22">
        <v>80.25</v>
      </c>
    </row>
    <row r="28" spans="44:45" x14ac:dyDescent="0.25">
      <c r="AR28" t="s">
        <v>0</v>
      </c>
      <c r="AS28" s="22">
        <v>83.5</v>
      </c>
    </row>
    <row r="29" spans="44:45" x14ac:dyDescent="0.25">
      <c r="AR29" t="s">
        <v>3</v>
      </c>
      <c r="AS29" s="39">
        <v>85</v>
      </c>
    </row>
    <row r="30" spans="44:45" x14ac:dyDescent="0.25">
      <c r="AR30" t="s">
        <v>4</v>
      </c>
      <c r="AS30" s="39">
        <v>91</v>
      </c>
    </row>
    <row r="31" spans="44:45" x14ac:dyDescent="0.25">
      <c r="AR31" t="s">
        <v>1</v>
      </c>
      <c r="AS31" s="22">
        <v>91.75</v>
      </c>
    </row>
    <row r="32" spans="44:45" x14ac:dyDescent="0.25">
      <c r="AR32" t="s">
        <v>5</v>
      </c>
      <c r="AS32" s="22">
        <v>94.25</v>
      </c>
    </row>
    <row r="33" spans="44:45" x14ac:dyDescent="0.25">
      <c r="AR33" t="s">
        <v>25</v>
      </c>
      <c r="AS33" s="39">
        <v>96</v>
      </c>
    </row>
    <row r="34" spans="44:45" x14ac:dyDescent="0.25">
      <c r="AR34" t="s">
        <v>2</v>
      </c>
      <c r="AS34" s="22">
        <v>98.5</v>
      </c>
    </row>
    <row r="35" spans="44:45" x14ac:dyDescent="0.25">
      <c r="AR35" t="s">
        <v>30</v>
      </c>
      <c r="AS35" s="39">
        <v>100</v>
      </c>
    </row>
    <row r="36" spans="44:45" x14ac:dyDescent="0.25">
      <c r="AR36" s="37"/>
    </row>
    <row r="37" spans="44:45" x14ac:dyDescent="0.25">
      <c r="AR37" s="37"/>
    </row>
    <row r="38" spans="44:45" x14ac:dyDescent="0.25">
      <c r="AR38" s="37"/>
    </row>
    <row r="39" spans="44:45" x14ac:dyDescent="0.25">
      <c r="AR39" s="37" t="s">
        <v>7</v>
      </c>
      <c r="AS39" s="22" t="s">
        <v>35</v>
      </c>
    </row>
    <row r="40" spans="44:45" x14ac:dyDescent="0.25">
      <c r="AR40" t="s">
        <v>5</v>
      </c>
      <c r="AS40" s="22">
        <v>73.333333333333329</v>
      </c>
    </row>
    <row r="41" spans="44:45" x14ac:dyDescent="0.25">
      <c r="AR41" t="s">
        <v>4</v>
      </c>
      <c r="AS41" s="22">
        <v>79.722222222222229</v>
      </c>
    </row>
    <row r="42" spans="44:45" x14ac:dyDescent="0.25">
      <c r="AR42" t="s">
        <v>0</v>
      </c>
      <c r="AS42" s="22">
        <v>80.833333333333329</v>
      </c>
    </row>
    <row r="43" spans="44:45" x14ac:dyDescent="0.25">
      <c r="AR43" t="s">
        <v>30</v>
      </c>
      <c r="AS43" s="22">
        <v>82.222222222222229</v>
      </c>
    </row>
    <row r="44" spans="44:45" x14ac:dyDescent="0.25">
      <c r="AR44" t="s">
        <v>25</v>
      </c>
      <c r="AS44" s="22">
        <v>83.333333333333329</v>
      </c>
    </row>
    <row r="45" spans="44:45" x14ac:dyDescent="0.25">
      <c r="AR45" t="s">
        <v>1</v>
      </c>
      <c r="AS45" s="22">
        <v>83.611111111111114</v>
      </c>
    </row>
    <row r="46" spans="44:45" x14ac:dyDescent="0.25">
      <c r="AR46" t="s">
        <v>117</v>
      </c>
      <c r="AS46" s="22">
        <v>83.888888888888886</v>
      </c>
    </row>
    <row r="47" spans="44:45" x14ac:dyDescent="0.25">
      <c r="AR47" t="s">
        <v>6</v>
      </c>
      <c r="AS47" s="22">
        <v>84.444444444444443</v>
      </c>
    </row>
    <row r="48" spans="44:45" x14ac:dyDescent="0.25">
      <c r="AR48" t="s">
        <v>3</v>
      </c>
      <c r="AS48" s="22">
        <v>85</v>
      </c>
    </row>
    <row r="49" spans="44:45" x14ac:dyDescent="0.25">
      <c r="AR49" t="s">
        <v>2</v>
      </c>
      <c r="AS49" s="22">
        <v>85.833333333333329</v>
      </c>
    </row>
    <row r="58" spans="44:45" x14ac:dyDescent="0.25">
      <c r="AS58"/>
    </row>
    <row r="59" spans="44:45" x14ac:dyDescent="0.25">
      <c r="AS59"/>
    </row>
    <row r="60" spans="44:45" x14ac:dyDescent="0.25">
      <c r="AS60"/>
    </row>
    <row r="61" spans="44:45" x14ac:dyDescent="0.25">
      <c r="AS61"/>
    </row>
    <row r="62" spans="44:45" x14ac:dyDescent="0.25">
      <c r="AS62"/>
    </row>
    <row r="63" spans="44:45" x14ac:dyDescent="0.25">
      <c r="AS63"/>
    </row>
    <row r="64" spans="44:45" x14ac:dyDescent="0.25">
      <c r="AS64"/>
    </row>
    <row r="65" spans="45:45" x14ac:dyDescent="0.25">
      <c r="AS65"/>
    </row>
    <row r="66" spans="45:45" x14ac:dyDescent="0.25">
      <c r="AS66"/>
    </row>
    <row r="67" spans="45:45" x14ac:dyDescent="0.25">
      <c r="AS67"/>
    </row>
  </sheetData>
  <mergeCells count="11">
    <mergeCell ref="AL3:AO3"/>
    <mergeCell ref="B2:AO2"/>
    <mergeCell ref="B3:E3"/>
    <mergeCell ref="F3:I3"/>
    <mergeCell ref="J3:M3"/>
    <mergeCell ref="N3:Q3"/>
    <mergeCell ref="R3:U3"/>
    <mergeCell ref="V3:Y3"/>
    <mergeCell ref="Z3:AC3"/>
    <mergeCell ref="AD3:AG3"/>
    <mergeCell ref="AH3:AK3"/>
  </mergeCells>
  <phoneticPr fontId="11" type="noConversion"/>
  <pageMargins left="0.7" right="0.7" top="0.75" bottom="0.75" header="0.3" footer="0.3"/>
  <pageSetup paperSize="8" scale="5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5DD4E-1C07-476C-BF8F-EB087DB24291}">
  <dimension ref="B2:N44"/>
  <sheetViews>
    <sheetView topLeftCell="A19" zoomScale="145" zoomScaleNormal="145" workbookViewId="0">
      <selection activeCell="B20" sqref="B20"/>
    </sheetView>
  </sheetViews>
  <sheetFormatPr defaultRowHeight="15" x14ac:dyDescent="0.25"/>
  <cols>
    <col min="2" max="2" width="19.5703125" style="22" bestFit="1" customWidth="1"/>
    <col min="3" max="3" width="14.5703125" bestFit="1" customWidth="1"/>
    <col min="8" max="8" width="22.42578125" style="53" bestFit="1" customWidth="1"/>
    <col min="14" max="14" width="19.5703125" bestFit="1" customWidth="1"/>
  </cols>
  <sheetData>
    <row r="2" spans="2:4" x14ac:dyDescent="0.25">
      <c r="B2" s="54" t="s">
        <v>123</v>
      </c>
      <c r="C2" s="55" t="s">
        <v>124</v>
      </c>
      <c r="D2" s="54" t="s">
        <v>566</v>
      </c>
    </row>
    <row r="3" spans="2:4" x14ac:dyDescent="0.25">
      <c r="B3" t="s">
        <v>119</v>
      </c>
      <c r="C3" s="22">
        <v>77.188888888888897</v>
      </c>
      <c r="D3" s="22">
        <f>_xlfn.STDEV.P(C3:C12)</f>
        <v>4.596118696103578</v>
      </c>
    </row>
    <row r="4" spans="2:4" x14ac:dyDescent="0.25">
      <c r="B4" t="s">
        <v>125</v>
      </c>
      <c r="C4" s="22">
        <v>78.424999999999997</v>
      </c>
      <c r="D4" s="22">
        <f t="shared" ref="D4:D7" si="0">_xlfn.STDEV.P(C4:C13)</f>
        <v>4.1388919918788627</v>
      </c>
    </row>
    <row r="5" spans="2:4" x14ac:dyDescent="0.25">
      <c r="B5" t="s">
        <v>131</v>
      </c>
      <c r="C5" s="22">
        <v>82.025000000000006</v>
      </c>
      <c r="D5" s="22">
        <f t="shared" si="0"/>
        <v>3.5927981440389618</v>
      </c>
    </row>
    <row r="6" spans="2:4" x14ac:dyDescent="0.25">
      <c r="B6" t="s">
        <v>129</v>
      </c>
      <c r="C6" s="22">
        <v>82.765000000000001</v>
      </c>
      <c r="D6" s="22">
        <f t="shared" si="0"/>
        <v>3.4902512275289488</v>
      </c>
    </row>
    <row r="7" spans="2:4" x14ac:dyDescent="0.25">
      <c r="B7" t="s">
        <v>130</v>
      </c>
      <c r="C7" s="22">
        <v>82.89500000000001</v>
      </c>
      <c r="D7" s="22">
        <f t="shared" si="0"/>
        <v>3.3782089749368125</v>
      </c>
    </row>
    <row r="8" spans="2:4" x14ac:dyDescent="0.25">
      <c r="B8" t="s">
        <v>118</v>
      </c>
      <c r="C8" s="22">
        <v>83.655555555555551</v>
      </c>
      <c r="D8" s="22">
        <f>_xlfn.STDEV.P(C8:C16)</f>
        <v>3.0435461245635325</v>
      </c>
    </row>
    <row r="9" spans="2:4" x14ac:dyDescent="0.25">
      <c r="B9" t="s">
        <v>128</v>
      </c>
      <c r="C9" s="22">
        <v>85.495000000000005</v>
      </c>
      <c r="D9" s="22">
        <f>_xlfn.STDEV.P(C9:C16)</f>
        <v>2.3537446555131001</v>
      </c>
    </row>
    <row r="10" spans="2:4" x14ac:dyDescent="0.25">
      <c r="B10" t="s">
        <v>122</v>
      </c>
      <c r="C10" s="22">
        <v>88.744444444444454</v>
      </c>
      <c r="D10" s="22">
        <f>_xlfn.STDEV.P(C10:C16)</f>
        <v>1.2032849485273771</v>
      </c>
    </row>
    <row r="11" spans="2:4" x14ac:dyDescent="0.25">
      <c r="B11" t="s">
        <v>126</v>
      </c>
      <c r="C11" s="22">
        <v>90.742500000000007</v>
      </c>
      <c r="D11" s="22">
        <f>_xlfn.STDEV.P(C11:C16)</f>
        <v>0.43874999999999886</v>
      </c>
    </row>
    <row r="12" spans="2:4" x14ac:dyDescent="0.25">
      <c r="B12" t="s">
        <v>127</v>
      </c>
      <c r="C12" s="22">
        <v>91.62</v>
      </c>
      <c r="D12" s="22">
        <f>_xlfn.STDEV.P(C12:C16)</f>
        <v>0</v>
      </c>
    </row>
    <row r="17" spans="2:14" x14ac:dyDescent="0.25">
      <c r="B17" s="22" t="s">
        <v>119</v>
      </c>
      <c r="C17" s="165">
        <f>C3/100</f>
        <v>0.77188888888888896</v>
      </c>
    </row>
    <row r="18" spans="2:14" x14ac:dyDescent="0.25">
      <c r="B18" s="22" t="s">
        <v>125</v>
      </c>
      <c r="C18" s="165">
        <f t="shared" ref="C18:C26" si="1">C4/100</f>
        <v>0.78425</v>
      </c>
    </row>
    <row r="19" spans="2:14" x14ac:dyDescent="0.25">
      <c r="B19" s="22" t="s">
        <v>131</v>
      </c>
      <c r="C19" s="165">
        <f t="shared" si="1"/>
        <v>0.82025000000000003</v>
      </c>
    </row>
    <row r="20" spans="2:14" x14ac:dyDescent="0.25">
      <c r="B20" s="22" t="s">
        <v>129</v>
      </c>
      <c r="C20" s="165">
        <f t="shared" si="1"/>
        <v>0.82765</v>
      </c>
    </row>
    <row r="21" spans="2:14" x14ac:dyDescent="0.25">
      <c r="B21" s="22" t="s">
        <v>130</v>
      </c>
      <c r="C21" s="165">
        <f t="shared" si="1"/>
        <v>0.82895000000000008</v>
      </c>
    </row>
    <row r="22" spans="2:14" x14ac:dyDescent="0.25">
      <c r="B22" s="22" t="s">
        <v>118</v>
      </c>
      <c r="C22" s="165">
        <f t="shared" si="1"/>
        <v>0.8365555555555555</v>
      </c>
    </row>
    <row r="23" spans="2:14" x14ac:dyDescent="0.25">
      <c r="B23" s="22" t="s">
        <v>128</v>
      </c>
      <c r="C23" s="165">
        <f t="shared" si="1"/>
        <v>0.8549500000000001</v>
      </c>
    </row>
    <row r="24" spans="2:14" x14ac:dyDescent="0.25">
      <c r="B24" s="22" t="s">
        <v>122</v>
      </c>
      <c r="C24" s="165">
        <f t="shared" si="1"/>
        <v>0.88744444444444459</v>
      </c>
    </row>
    <row r="25" spans="2:14" x14ac:dyDescent="0.25">
      <c r="B25" s="22" t="s">
        <v>126</v>
      </c>
      <c r="C25" s="165">
        <f t="shared" si="1"/>
        <v>0.90742500000000004</v>
      </c>
    </row>
    <row r="26" spans="2:14" x14ac:dyDescent="0.25">
      <c r="B26" s="22" t="s">
        <v>127</v>
      </c>
      <c r="C26" s="165">
        <f t="shared" si="1"/>
        <v>0.91620000000000001</v>
      </c>
    </row>
    <row r="27" spans="2:14" x14ac:dyDescent="0.25">
      <c r="G27" s="54"/>
      <c r="H27" s="55"/>
      <c r="N27" s="53"/>
    </row>
    <row r="28" spans="2:14" x14ac:dyDescent="0.25">
      <c r="N28" s="53"/>
    </row>
    <row r="29" spans="2:14" x14ac:dyDescent="0.25">
      <c r="M29" s="54" t="s">
        <v>123</v>
      </c>
      <c r="N29" s="55" t="s">
        <v>124</v>
      </c>
    </row>
    <row r="30" spans="2:14" x14ac:dyDescent="0.25">
      <c r="M30" s="56" t="s">
        <v>118</v>
      </c>
      <c r="N30" s="57">
        <f>AVERAGE('Task 1 - Bubble Sort'!AS5:AS14)</f>
        <v>83.655555555555551</v>
      </c>
    </row>
    <row r="31" spans="2:14" x14ac:dyDescent="0.25">
      <c r="M31" s="56" t="s">
        <v>119</v>
      </c>
      <c r="N31" s="57">
        <f>AVERAGE('Task 2 - CLA'!AS5:AS14)</f>
        <v>77.188888888888897</v>
      </c>
    </row>
    <row r="32" spans="2:14" x14ac:dyDescent="0.25">
      <c r="M32" s="56" t="s">
        <v>122</v>
      </c>
      <c r="N32" s="57">
        <f>AVERAGE('Task-3 FSM'!AS5:AS14)</f>
        <v>88.744444444444454</v>
      </c>
    </row>
    <row r="33" spans="13:14" x14ac:dyDescent="0.25">
      <c r="M33" s="56" t="s">
        <v>125</v>
      </c>
      <c r="N33" s="57">
        <f>AVERAGE('Task 4 - I2C'!AS5:AS14)</f>
        <v>78.424999999999997</v>
      </c>
    </row>
    <row r="34" spans="13:14" x14ac:dyDescent="0.25">
      <c r="M34" s="56" t="s">
        <v>126</v>
      </c>
      <c r="N34" s="57">
        <f>AVERAGE('Task 5 -MPI'!AS5:AS14)</f>
        <v>90.742500000000007</v>
      </c>
    </row>
    <row r="35" spans="13:14" x14ac:dyDescent="0.25">
      <c r="M35" s="56" t="s">
        <v>127</v>
      </c>
      <c r="N35" s="57">
        <f>AVERAGE('Task 6-MR'!AS5:AS14)</f>
        <v>91.62</v>
      </c>
    </row>
    <row r="36" spans="13:14" x14ac:dyDescent="0.25">
      <c r="M36" s="56" t="s">
        <v>128</v>
      </c>
      <c r="N36" s="57">
        <f>AVERAGE('Task 7-OOP'!AS5:AS14)</f>
        <v>85.495000000000005</v>
      </c>
    </row>
    <row r="37" spans="13:14" x14ac:dyDescent="0.25">
      <c r="M37" s="56" t="s">
        <v>129</v>
      </c>
      <c r="N37" s="57">
        <f>AVERAGE('Task 8-PI'!AS5:AS14)</f>
        <v>82.765000000000001</v>
      </c>
    </row>
    <row r="38" spans="13:14" x14ac:dyDescent="0.25">
      <c r="M38" s="56" t="s">
        <v>130</v>
      </c>
      <c r="N38" s="57">
        <f>AVERAGE('Task 9-RM'!AS5:AS14)</f>
        <v>82.89500000000001</v>
      </c>
    </row>
    <row r="39" spans="13:14" x14ac:dyDescent="0.25">
      <c r="M39" s="56" t="s">
        <v>131</v>
      </c>
      <c r="N39" s="57">
        <f>AVERAGE('Task 10-SA'!AS5:AS14)</f>
        <v>82.025000000000006</v>
      </c>
    </row>
    <row r="40" spans="13:14" x14ac:dyDescent="0.25">
      <c r="N40" s="53"/>
    </row>
    <row r="41" spans="13:14" x14ac:dyDescent="0.25">
      <c r="N41" s="53"/>
    </row>
    <row r="42" spans="13:14" x14ac:dyDescent="0.25">
      <c r="N42" s="53"/>
    </row>
    <row r="43" spans="13:14" x14ac:dyDescent="0.25">
      <c r="N43" s="53"/>
    </row>
    <row r="44" spans="13:14" x14ac:dyDescent="0.25">
      <c r="N44" s="53"/>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7E19-02FF-45EB-857D-9235B6513827}">
  <dimension ref="A1:Y40"/>
  <sheetViews>
    <sheetView zoomScale="85" zoomScaleNormal="85" workbookViewId="0">
      <selection activeCell="A21" sqref="A21:B32"/>
    </sheetView>
  </sheetViews>
  <sheetFormatPr defaultRowHeight="15" x14ac:dyDescent="0.25"/>
  <cols>
    <col min="1" max="1" width="26" customWidth="1"/>
    <col min="2" max="2" width="20.85546875" bestFit="1" customWidth="1"/>
    <col min="3" max="3" width="20.5703125" bestFit="1" customWidth="1"/>
    <col min="4" max="4" width="15.42578125" bestFit="1" customWidth="1"/>
    <col min="5" max="5" width="20.5703125" bestFit="1" customWidth="1"/>
    <col min="6" max="6" width="15.42578125" bestFit="1" customWidth="1"/>
    <col min="7" max="7" width="20.5703125" bestFit="1" customWidth="1"/>
    <col min="8" max="8" width="15.42578125" bestFit="1" customWidth="1"/>
    <col min="9" max="9" width="20.5703125" bestFit="1" customWidth="1"/>
    <col min="10" max="10" width="15.42578125" bestFit="1" customWidth="1"/>
    <col min="11" max="11" width="20.5703125" bestFit="1" customWidth="1"/>
    <col min="12" max="12" width="15.42578125" bestFit="1" customWidth="1"/>
    <col min="13" max="13" width="20.5703125" bestFit="1" customWidth="1"/>
    <col min="14" max="14" width="23.140625" bestFit="1" customWidth="1"/>
    <col min="15" max="15" width="20.5703125" bestFit="1" customWidth="1"/>
    <col min="16" max="16" width="15.42578125" bestFit="1" customWidth="1"/>
    <col min="17" max="17" width="20.5703125" bestFit="1" customWidth="1"/>
    <col min="18" max="18" width="15.42578125" bestFit="1" customWidth="1"/>
    <col min="19" max="19" width="20.5703125" bestFit="1" customWidth="1"/>
    <col min="24" max="24" width="21" bestFit="1" customWidth="1"/>
    <col min="28" max="28" width="14" bestFit="1" customWidth="1"/>
  </cols>
  <sheetData>
    <row r="1" spans="1:25" x14ac:dyDescent="0.25">
      <c r="A1" t="s">
        <v>7</v>
      </c>
      <c r="B1" t="s">
        <v>554</v>
      </c>
    </row>
    <row r="2" spans="1:25" x14ac:dyDescent="0.25">
      <c r="A2" t="s">
        <v>6</v>
      </c>
      <c r="B2" s="22">
        <v>33.094999999999999</v>
      </c>
      <c r="C2" s="22">
        <v>33.094999999999999</v>
      </c>
      <c r="D2" s="165">
        <f>C2/100</f>
        <v>0.33094999999999997</v>
      </c>
    </row>
    <row r="3" spans="1:25" x14ac:dyDescent="0.25">
      <c r="A3" t="s">
        <v>0</v>
      </c>
      <c r="B3" s="22">
        <v>79.669999999999987</v>
      </c>
      <c r="C3" s="22">
        <v>79.669999999999987</v>
      </c>
      <c r="D3" s="165">
        <f t="shared" ref="D3:D11" si="0">C3/100</f>
        <v>0.79669999999999985</v>
      </c>
    </row>
    <row r="4" spans="1:25" ht="20.25" customHeight="1" x14ac:dyDescent="0.25">
      <c r="A4" t="s">
        <v>117</v>
      </c>
      <c r="B4" s="22">
        <v>81.575000000000003</v>
      </c>
      <c r="C4" s="22">
        <v>81.575000000000003</v>
      </c>
      <c r="D4" s="165">
        <f t="shared" si="0"/>
        <v>0.81574999999999998</v>
      </c>
    </row>
    <row r="5" spans="1:25" x14ac:dyDescent="0.25">
      <c r="A5" t="s">
        <v>3</v>
      </c>
      <c r="B5" s="22">
        <v>83.44</v>
      </c>
      <c r="C5" s="22">
        <v>83.44</v>
      </c>
      <c r="D5" s="165">
        <f t="shared" si="0"/>
        <v>0.83440000000000003</v>
      </c>
      <c r="X5" t="s">
        <v>6</v>
      </c>
      <c r="Y5" s="165">
        <f>B2/100</f>
        <v>0.33094999999999997</v>
      </c>
    </row>
    <row r="6" spans="1:25" x14ac:dyDescent="0.25">
      <c r="A6" t="s">
        <v>1</v>
      </c>
      <c r="B6" s="22">
        <v>89.53</v>
      </c>
      <c r="C6" s="22">
        <v>89.53</v>
      </c>
      <c r="D6" s="165">
        <f t="shared" si="0"/>
        <v>0.89529999999999998</v>
      </c>
      <c r="X6" t="s">
        <v>0</v>
      </c>
      <c r="Y6" s="165">
        <f t="shared" ref="Y6:Y14" si="1">B3/100</f>
        <v>0.79669999999999985</v>
      </c>
    </row>
    <row r="7" spans="1:25" x14ac:dyDescent="0.25">
      <c r="A7" t="s">
        <v>4</v>
      </c>
      <c r="B7" s="22">
        <v>92.275000000000006</v>
      </c>
      <c r="C7" s="22">
        <v>92.275000000000006</v>
      </c>
      <c r="D7" s="165">
        <f t="shared" si="0"/>
        <v>0.92275000000000007</v>
      </c>
      <c r="X7" t="s">
        <v>117</v>
      </c>
      <c r="Y7" s="165">
        <f t="shared" si="1"/>
        <v>0.81574999999999998</v>
      </c>
    </row>
    <row r="8" spans="1:25" x14ac:dyDescent="0.25">
      <c r="A8" t="s">
        <v>25</v>
      </c>
      <c r="B8" s="22">
        <v>94.534999999999997</v>
      </c>
      <c r="C8" s="22">
        <v>94.534999999999997</v>
      </c>
      <c r="D8" s="165">
        <f t="shared" si="0"/>
        <v>0.94534999999999991</v>
      </c>
      <c r="X8" t="s">
        <v>569</v>
      </c>
      <c r="Y8" s="165">
        <f t="shared" si="1"/>
        <v>0.83440000000000003</v>
      </c>
    </row>
    <row r="9" spans="1:25" x14ac:dyDescent="0.25">
      <c r="A9" t="s">
        <v>30</v>
      </c>
      <c r="B9" s="22">
        <v>95.03</v>
      </c>
      <c r="C9" s="22">
        <v>95.03</v>
      </c>
      <c r="D9" s="165">
        <f t="shared" si="0"/>
        <v>0.95030000000000003</v>
      </c>
      <c r="X9" t="s">
        <v>1</v>
      </c>
      <c r="Y9" s="165">
        <f t="shared" si="1"/>
        <v>0.89529999999999998</v>
      </c>
    </row>
    <row r="10" spans="1:25" x14ac:dyDescent="0.25">
      <c r="A10" t="s">
        <v>5</v>
      </c>
      <c r="B10" s="22">
        <v>95.474999999999994</v>
      </c>
      <c r="C10" s="22">
        <v>95.474999999999994</v>
      </c>
      <c r="D10" s="165">
        <f t="shared" si="0"/>
        <v>0.95474999999999999</v>
      </c>
      <c r="X10" t="s">
        <v>4</v>
      </c>
      <c r="Y10" s="165">
        <f t="shared" si="1"/>
        <v>0.92275000000000007</v>
      </c>
    </row>
    <row r="11" spans="1:25" x14ac:dyDescent="0.25">
      <c r="A11" t="s">
        <v>2</v>
      </c>
      <c r="B11" s="22">
        <v>98.445000000000007</v>
      </c>
      <c r="C11" s="22">
        <v>98.445000000000007</v>
      </c>
      <c r="D11" s="165">
        <f t="shared" si="0"/>
        <v>0.98445000000000005</v>
      </c>
      <c r="X11" t="s">
        <v>25</v>
      </c>
      <c r="Y11" s="165">
        <f t="shared" si="1"/>
        <v>0.94534999999999991</v>
      </c>
    </row>
    <row r="12" spans="1:25" x14ac:dyDescent="0.25">
      <c r="B12" s="164">
        <f>AVERAGE(B2:B11)</f>
        <v>84.306999999999988</v>
      </c>
      <c r="C12" t="s">
        <v>553</v>
      </c>
      <c r="X12" t="s">
        <v>30</v>
      </c>
      <c r="Y12" s="165">
        <f t="shared" si="1"/>
        <v>0.95030000000000003</v>
      </c>
    </row>
    <row r="13" spans="1:25" x14ac:dyDescent="0.25">
      <c r="X13" t="s">
        <v>5</v>
      </c>
      <c r="Y13" s="165">
        <f t="shared" si="1"/>
        <v>0.95474999999999999</v>
      </c>
    </row>
    <row r="14" spans="1:25" x14ac:dyDescent="0.25">
      <c r="X14" t="s">
        <v>2</v>
      </c>
      <c r="Y14" s="165">
        <f t="shared" si="1"/>
        <v>0.98445000000000005</v>
      </c>
    </row>
    <row r="21" spans="1:25" x14ac:dyDescent="0.25">
      <c r="A21" t="s">
        <v>7</v>
      </c>
      <c r="B21" t="s">
        <v>555</v>
      </c>
    </row>
    <row r="22" spans="1:25" x14ac:dyDescent="0.25">
      <c r="A22" t="s">
        <v>30</v>
      </c>
      <c r="B22" s="22">
        <v>79.95</v>
      </c>
    </row>
    <row r="23" spans="1:25" x14ac:dyDescent="0.25">
      <c r="A23" t="s">
        <v>4</v>
      </c>
      <c r="B23" s="22">
        <v>81.12222222222222</v>
      </c>
    </row>
    <row r="24" spans="1:25" x14ac:dyDescent="0.25">
      <c r="A24" t="s">
        <v>25</v>
      </c>
      <c r="B24" s="22">
        <v>82.711111111111123</v>
      </c>
    </row>
    <row r="25" spans="1:25" x14ac:dyDescent="0.25">
      <c r="A25" t="s">
        <v>1</v>
      </c>
      <c r="B25" s="22">
        <v>83.288888888888891</v>
      </c>
    </row>
    <row r="26" spans="1:25" x14ac:dyDescent="0.25">
      <c r="A26" t="s">
        <v>5</v>
      </c>
      <c r="B26" s="22">
        <v>83.672222222222231</v>
      </c>
    </row>
    <row r="27" spans="1:25" x14ac:dyDescent="0.25">
      <c r="A27" t="s">
        <v>0</v>
      </c>
      <c r="B27" s="22">
        <v>84.394444444444446</v>
      </c>
    </row>
    <row r="28" spans="1:25" x14ac:dyDescent="0.25">
      <c r="A28" t="s">
        <v>117</v>
      </c>
      <c r="B28" s="22">
        <v>87.011111111111106</v>
      </c>
    </row>
    <row r="29" spans="1:25" x14ac:dyDescent="0.25">
      <c r="A29" t="s">
        <v>6</v>
      </c>
      <c r="B29" s="22">
        <v>87.166666666666657</v>
      </c>
    </row>
    <row r="30" spans="1:25" x14ac:dyDescent="0.25">
      <c r="A30" t="s">
        <v>3</v>
      </c>
      <c r="B30" s="22">
        <v>87.977777777777774</v>
      </c>
    </row>
    <row r="31" spans="1:25" x14ac:dyDescent="0.25">
      <c r="A31" t="s">
        <v>2</v>
      </c>
      <c r="B31" s="22">
        <v>88.811111111111117</v>
      </c>
      <c r="X31" t="s">
        <v>30</v>
      </c>
      <c r="Y31" s="165">
        <f>B22/100</f>
        <v>0.79949999999999999</v>
      </c>
    </row>
    <row r="32" spans="1:25" x14ac:dyDescent="0.25">
      <c r="B32" s="130">
        <f>AVERAGE(B22:B31)</f>
        <v>84.61055555555555</v>
      </c>
      <c r="C32" t="s">
        <v>553</v>
      </c>
      <c r="X32" t="s">
        <v>4</v>
      </c>
      <c r="Y32" s="165">
        <f t="shared" ref="Y32:Y40" si="2">B23/100</f>
        <v>0.81122222222222218</v>
      </c>
    </row>
    <row r="33" spans="24:25" x14ac:dyDescent="0.25">
      <c r="X33" t="s">
        <v>25</v>
      </c>
      <c r="Y33" s="165">
        <f t="shared" si="2"/>
        <v>0.82711111111111124</v>
      </c>
    </row>
    <row r="34" spans="24:25" x14ac:dyDescent="0.25">
      <c r="X34" t="s">
        <v>1</v>
      </c>
      <c r="Y34" s="165">
        <f t="shared" si="2"/>
        <v>0.8328888888888889</v>
      </c>
    </row>
    <row r="35" spans="24:25" x14ac:dyDescent="0.25">
      <c r="X35" t="s">
        <v>5</v>
      </c>
      <c r="Y35" s="165">
        <f t="shared" si="2"/>
        <v>0.83672222222222237</v>
      </c>
    </row>
    <row r="36" spans="24:25" x14ac:dyDescent="0.25">
      <c r="X36" t="s">
        <v>0</v>
      </c>
      <c r="Y36" s="165">
        <f t="shared" si="2"/>
        <v>0.8439444444444445</v>
      </c>
    </row>
    <row r="37" spans="24:25" x14ac:dyDescent="0.25">
      <c r="X37" t="s">
        <v>117</v>
      </c>
      <c r="Y37" s="165">
        <f t="shared" si="2"/>
        <v>0.87011111111111106</v>
      </c>
    </row>
    <row r="38" spans="24:25" x14ac:dyDescent="0.25">
      <c r="X38" t="s">
        <v>6</v>
      </c>
      <c r="Y38" s="165">
        <f t="shared" si="2"/>
        <v>0.87166666666666659</v>
      </c>
    </row>
    <row r="39" spans="24:25" x14ac:dyDescent="0.25">
      <c r="X39" t="s">
        <v>569</v>
      </c>
      <c r="Y39" s="165">
        <f t="shared" si="2"/>
        <v>0.87977777777777777</v>
      </c>
    </row>
    <row r="40" spans="24:25" x14ac:dyDescent="0.25">
      <c r="X40" t="s">
        <v>2</v>
      </c>
      <c r="Y40" s="165">
        <f t="shared" si="2"/>
        <v>0.88811111111111118</v>
      </c>
    </row>
  </sheetData>
  <sortState xmlns:xlrd2="http://schemas.microsoft.com/office/spreadsheetml/2017/richdata2" ref="A22:B31">
    <sortCondition ref="B22:B31"/>
  </sortState>
  <pageMargins left="0.7" right="0.7" top="0.75" bottom="0.75" header="0.3" footer="0.3"/>
  <pageSetup paperSize="8"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50F0-D43F-4B8E-AC9C-824B62A4A03F}">
  <dimension ref="A11:AF110"/>
  <sheetViews>
    <sheetView topLeftCell="A72" zoomScale="85" zoomScaleNormal="85" workbookViewId="0">
      <selection activeCell="K40" sqref="K40"/>
    </sheetView>
  </sheetViews>
  <sheetFormatPr defaultRowHeight="15" x14ac:dyDescent="0.25"/>
  <cols>
    <col min="1" max="1" width="26" customWidth="1"/>
    <col min="2" max="2" width="23.140625" customWidth="1"/>
    <col min="3" max="3" width="25.7109375" bestFit="1" customWidth="1"/>
    <col min="4" max="4" width="15.42578125" bestFit="1" customWidth="1"/>
    <col min="5" max="5" width="20.5703125" bestFit="1" customWidth="1"/>
    <col min="6" max="6" width="20.85546875" bestFit="1" customWidth="1"/>
    <col min="7" max="7" width="20.5703125" bestFit="1" customWidth="1"/>
    <col min="8" max="8" width="15.42578125" bestFit="1" customWidth="1"/>
    <col min="9" max="9" width="20.5703125" bestFit="1" customWidth="1"/>
    <col min="10" max="10" width="15.42578125" bestFit="1" customWidth="1"/>
    <col min="11" max="11" width="20.5703125" bestFit="1" customWidth="1"/>
    <col min="12" max="12" width="15.42578125" bestFit="1" customWidth="1"/>
    <col min="13" max="13" width="20.5703125" bestFit="1" customWidth="1"/>
    <col min="14" max="14" width="15.42578125" bestFit="1" customWidth="1"/>
    <col min="15" max="15" width="20.5703125" bestFit="1" customWidth="1"/>
    <col min="16" max="16" width="15.42578125" bestFit="1" customWidth="1"/>
    <col min="17" max="17" width="20.5703125" bestFit="1" customWidth="1"/>
    <col min="18" max="18" width="23.140625" bestFit="1" customWidth="1"/>
    <col min="19" max="19" width="20.5703125" bestFit="1" customWidth="1"/>
    <col min="20" max="20" width="15.42578125" bestFit="1" customWidth="1"/>
    <col min="21" max="21" width="20.5703125" bestFit="1" customWidth="1"/>
    <col min="22" max="22" width="15.42578125" bestFit="1" customWidth="1"/>
    <col min="23" max="23" width="20.5703125" bestFit="1" customWidth="1"/>
    <col min="32" max="32" width="14" bestFit="1" customWidth="1"/>
  </cols>
  <sheetData>
    <row r="11" spans="3:23" x14ac:dyDescent="0.25">
      <c r="D11" s="154" t="s">
        <v>134</v>
      </c>
      <c r="E11" s="154"/>
      <c r="F11" s="154"/>
      <c r="G11" s="154"/>
      <c r="H11" s="154"/>
      <c r="I11" s="154"/>
      <c r="J11" s="154"/>
      <c r="K11" s="154"/>
      <c r="L11" s="154"/>
      <c r="M11" s="154"/>
      <c r="N11" s="154"/>
      <c r="O11" s="154"/>
      <c r="P11" s="154"/>
      <c r="Q11" s="154"/>
      <c r="R11" s="154"/>
      <c r="S11" s="154"/>
      <c r="T11" s="154"/>
      <c r="U11" s="154"/>
      <c r="V11" s="154"/>
      <c r="W11" s="154"/>
    </row>
    <row r="12" spans="3:23" x14ac:dyDescent="0.25">
      <c r="C12" s="24"/>
      <c r="D12" s="154" t="s">
        <v>118</v>
      </c>
      <c r="E12" s="154"/>
      <c r="F12" s="154" t="s">
        <v>119</v>
      </c>
      <c r="G12" s="154"/>
      <c r="H12" s="154" t="s">
        <v>122</v>
      </c>
      <c r="I12" s="154"/>
      <c r="J12" s="154" t="s">
        <v>125</v>
      </c>
      <c r="K12" s="154"/>
      <c r="L12" s="154" t="s">
        <v>126</v>
      </c>
      <c r="M12" s="154"/>
      <c r="N12" s="154" t="s">
        <v>127</v>
      </c>
      <c r="O12" s="154"/>
      <c r="P12" s="154" t="s">
        <v>128</v>
      </c>
      <c r="Q12" s="154"/>
      <c r="R12" s="154" t="s">
        <v>129</v>
      </c>
      <c r="S12" s="154"/>
      <c r="T12" s="154" t="s">
        <v>130</v>
      </c>
      <c r="U12" s="154"/>
      <c r="V12" s="154" t="s">
        <v>131</v>
      </c>
      <c r="W12" s="154"/>
    </row>
    <row r="13" spans="3:23" x14ac:dyDescent="0.25">
      <c r="C13" s="24" t="s">
        <v>7</v>
      </c>
      <c r="D13" s="24" t="s">
        <v>34</v>
      </c>
      <c r="E13" s="24" t="s">
        <v>35</v>
      </c>
      <c r="F13" s="24" t="s">
        <v>34</v>
      </c>
      <c r="G13" s="24" t="s">
        <v>35</v>
      </c>
      <c r="H13" s="24" t="s">
        <v>34</v>
      </c>
      <c r="I13" s="24" t="s">
        <v>35</v>
      </c>
      <c r="J13" s="24" t="s">
        <v>34</v>
      </c>
      <c r="K13" s="24" t="s">
        <v>35</v>
      </c>
      <c r="L13" s="24" t="s">
        <v>34</v>
      </c>
      <c r="M13" s="24" t="s">
        <v>35</v>
      </c>
      <c r="N13" s="24" t="s">
        <v>34</v>
      </c>
      <c r="O13" s="24" t="s">
        <v>35</v>
      </c>
      <c r="P13" s="24" t="s">
        <v>34</v>
      </c>
      <c r="Q13" s="24" t="s">
        <v>35</v>
      </c>
      <c r="R13" s="24" t="s">
        <v>34</v>
      </c>
      <c r="S13" s="24" t="s">
        <v>35</v>
      </c>
      <c r="T13" s="24" t="s">
        <v>34</v>
      </c>
      <c r="U13" s="24" t="s">
        <v>35</v>
      </c>
      <c r="V13" s="24" t="s">
        <v>34</v>
      </c>
      <c r="W13" s="24" t="s">
        <v>35</v>
      </c>
    </row>
    <row r="14" spans="3:23" x14ac:dyDescent="0.25">
      <c r="C14" s="24" t="s">
        <v>25</v>
      </c>
      <c r="D14" s="58">
        <v>98.1</v>
      </c>
      <c r="E14" s="58">
        <v>84.888888888888886</v>
      </c>
      <c r="F14" s="58">
        <v>96.5</v>
      </c>
      <c r="G14" s="58">
        <v>72.5</v>
      </c>
      <c r="H14" s="58">
        <v>91</v>
      </c>
      <c r="I14" s="58">
        <v>80.277777777777771</v>
      </c>
      <c r="J14" s="58">
        <v>89.1</v>
      </c>
      <c r="K14" s="58">
        <v>84.722222222222229</v>
      </c>
      <c r="L14" s="58">
        <v>93</v>
      </c>
      <c r="M14" s="58">
        <v>83.333333333333329</v>
      </c>
      <c r="N14" s="58">
        <v>95.75</v>
      </c>
      <c r="O14" s="58">
        <v>82.777777777777771</v>
      </c>
      <c r="P14" s="58">
        <v>94.25</v>
      </c>
      <c r="Q14" s="58">
        <v>82.5</v>
      </c>
      <c r="R14" s="58">
        <v>96</v>
      </c>
      <c r="S14" s="58">
        <v>90.833333333333329</v>
      </c>
      <c r="T14" s="58">
        <v>95.65</v>
      </c>
      <c r="U14" s="58">
        <v>81.944444444444443</v>
      </c>
      <c r="V14" s="58">
        <v>96</v>
      </c>
      <c r="W14" s="58">
        <v>83.333333333333329</v>
      </c>
    </row>
    <row r="15" spans="3:23" x14ac:dyDescent="0.25">
      <c r="C15" s="24" t="s">
        <v>30</v>
      </c>
      <c r="D15" s="58">
        <v>90</v>
      </c>
      <c r="E15" s="58">
        <v>84.611111111111114</v>
      </c>
      <c r="F15" s="58">
        <v>100</v>
      </c>
      <c r="G15" s="58">
        <v>76.277777777777771</v>
      </c>
      <c r="H15" s="58">
        <v>100</v>
      </c>
      <c r="I15" s="58">
        <v>76.666666666666671</v>
      </c>
      <c r="J15" s="58">
        <v>90</v>
      </c>
      <c r="K15" s="58">
        <v>61.944444444444443</v>
      </c>
      <c r="L15" s="58">
        <v>98.25</v>
      </c>
      <c r="M15" s="58">
        <v>84.722222222222229</v>
      </c>
      <c r="N15" s="58">
        <v>97.4</v>
      </c>
      <c r="O15" s="58">
        <v>89.722222222222229</v>
      </c>
      <c r="P15" s="58">
        <v>98.65</v>
      </c>
      <c r="Q15" s="58">
        <v>80.555555555555557</v>
      </c>
      <c r="R15" s="58">
        <v>76</v>
      </c>
      <c r="S15" s="58">
        <v>88.055555555555557</v>
      </c>
      <c r="T15" s="58">
        <v>100</v>
      </c>
      <c r="U15" s="58">
        <v>74.722222222222229</v>
      </c>
      <c r="V15" s="58">
        <v>100</v>
      </c>
      <c r="W15" s="58">
        <v>82.222222222222229</v>
      </c>
    </row>
    <row r="16" spans="3:23" x14ac:dyDescent="0.25">
      <c r="C16" s="24" t="s">
        <v>0</v>
      </c>
      <c r="D16" s="58">
        <v>77.05</v>
      </c>
      <c r="E16" s="58">
        <v>77.666666666666671</v>
      </c>
      <c r="F16" s="58">
        <v>92.7</v>
      </c>
      <c r="G16" s="58">
        <v>73.055555555555557</v>
      </c>
      <c r="H16" s="58">
        <v>67</v>
      </c>
      <c r="I16" s="58">
        <v>91.388888888888886</v>
      </c>
      <c r="J16" s="58">
        <v>76.650000000000006</v>
      </c>
      <c r="K16" s="58">
        <v>83.333333333333329</v>
      </c>
      <c r="L16" s="58">
        <v>78.650000000000006</v>
      </c>
      <c r="M16" s="58">
        <v>93.888888888888886</v>
      </c>
      <c r="N16" s="58">
        <v>78.650000000000006</v>
      </c>
      <c r="O16" s="58">
        <v>86.388888888888886</v>
      </c>
      <c r="P16" s="58">
        <v>85.55</v>
      </c>
      <c r="Q16" s="58">
        <v>82.777777777777771</v>
      </c>
      <c r="R16" s="58">
        <v>72.25</v>
      </c>
      <c r="S16" s="58">
        <v>88.055555555555557</v>
      </c>
      <c r="T16" s="58">
        <v>84.7</v>
      </c>
      <c r="U16" s="58">
        <v>86.555555555555557</v>
      </c>
      <c r="V16" s="58">
        <v>83.5</v>
      </c>
      <c r="W16" s="58">
        <v>80.833333333333329</v>
      </c>
    </row>
    <row r="17" spans="3:23" x14ac:dyDescent="0.25">
      <c r="C17" s="24" t="s">
        <v>117</v>
      </c>
      <c r="D17" s="58"/>
      <c r="E17" s="58">
        <v>84.888888888888886</v>
      </c>
      <c r="F17" s="58"/>
      <c r="G17" s="58">
        <v>78.5</v>
      </c>
      <c r="H17" s="58"/>
      <c r="I17" s="58">
        <v>95.277777777777771</v>
      </c>
      <c r="J17" s="58">
        <v>50</v>
      </c>
      <c r="K17" s="58">
        <v>84.166666666666671</v>
      </c>
      <c r="L17" s="58">
        <v>94.875</v>
      </c>
      <c r="M17" s="58">
        <v>91.833333333333329</v>
      </c>
      <c r="N17" s="58">
        <v>97.35</v>
      </c>
      <c r="O17" s="58">
        <v>94.055555555555557</v>
      </c>
      <c r="P17" s="58">
        <v>98.3</v>
      </c>
      <c r="Q17" s="58">
        <v>85.666666666666671</v>
      </c>
      <c r="R17" s="58">
        <v>69.900000000000006</v>
      </c>
      <c r="S17" s="58">
        <v>88.222222222222229</v>
      </c>
      <c r="T17" s="58">
        <v>80.349999999999994</v>
      </c>
      <c r="U17" s="58">
        <v>83.611111111111114</v>
      </c>
      <c r="V17" s="58">
        <v>80.25</v>
      </c>
      <c r="W17" s="58">
        <v>83.888888888888886</v>
      </c>
    </row>
    <row r="18" spans="3:23" x14ac:dyDescent="0.25">
      <c r="C18" s="24" t="s">
        <v>1</v>
      </c>
      <c r="D18" s="58">
        <v>95</v>
      </c>
      <c r="E18" s="58">
        <v>90.722222222222229</v>
      </c>
      <c r="F18" s="58">
        <v>68.5</v>
      </c>
      <c r="G18" s="58">
        <v>71.944444444444443</v>
      </c>
      <c r="H18" s="58">
        <v>95.5</v>
      </c>
      <c r="I18" s="58">
        <v>86.944444444444443</v>
      </c>
      <c r="J18" s="58">
        <v>94</v>
      </c>
      <c r="K18" s="58">
        <v>76.944444444444443</v>
      </c>
      <c r="L18" s="58">
        <v>87.75</v>
      </c>
      <c r="M18" s="58">
        <v>92.222222222222229</v>
      </c>
      <c r="N18" s="58">
        <v>91.05</v>
      </c>
      <c r="O18" s="58">
        <v>93.5</v>
      </c>
      <c r="P18" s="58">
        <v>90.5</v>
      </c>
      <c r="Q18" s="58">
        <v>82.222222222222229</v>
      </c>
      <c r="R18" s="58">
        <v>92.25</v>
      </c>
      <c r="S18" s="58">
        <v>71.444444444444443</v>
      </c>
      <c r="T18" s="58">
        <v>89</v>
      </c>
      <c r="U18" s="58">
        <v>83.333333333333329</v>
      </c>
      <c r="V18" s="58">
        <v>91.75</v>
      </c>
      <c r="W18" s="58">
        <v>83.611111111111114</v>
      </c>
    </row>
    <row r="19" spans="3:23" x14ac:dyDescent="0.25">
      <c r="C19" s="24" t="s">
        <v>2</v>
      </c>
      <c r="D19" s="58">
        <v>96</v>
      </c>
      <c r="E19" s="58">
        <v>87.444444444444443</v>
      </c>
      <c r="F19" s="58">
        <v>100</v>
      </c>
      <c r="G19" s="58">
        <v>82.111111111111114</v>
      </c>
      <c r="H19" s="58">
        <v>100</v>
      </c>
      <c r="I19" s="58">
        <v>94.111111111111114</v>
      </c>
      <c r="J19" s="58">
        <v>96.25</v>
      </c>
      <c r="K19" s="58">
        <v>85.888888888888886</v>
      </c>
      <c r="L19" s="58">
        <v>96.7</v>
      </c>
      <c r="M19" s="58">
        <v>94.888888888888886</v>
      </c>
      <c r="N19" s="58">
        <v>98.5</v>
      </c>
      <c r="O19" s="58">
        <v>94.722222222222229</v>
      </c>
      <c r="P19" s="58">
        <v>100</v>
      </c>
      <c r="Q19" s="58">
        <v>86.833333333333329</v>
      </c>
      <c r="R19" s="58">
        <v>98.5</v>
      </c>
      <c r="S19" s="58">
        <v>91.111111111111114</v>
      </c>
      <c r="T19" s="58">
        <v>100</v>
      </c>
      <c r="U19" s="58">
        <v>85.166666666666671</v>
      </c>
      <c r="V19" s="58">
        <v>98.5</v>
      </c>
      <c r="W19" s="58">
        <v>85.833333333333329</v>
      </c>
    </row>
    <row r="20" spans="3:23" x14ac:dyDescent="0.25">
      <c r="C20" s="24" t="s">
        <v>3</v>
      </c>
      <c r="D20" s="58">
        <v>91</v>
      </c>
      <c r="E20" s="58">
        <v>88.777777777777771</v>
      </c>
      <c r="F20" s="58">
        <v>59</v>
      </c>
      <c r="G20" s="58">
        <v>80.277777777777771</v>
      </c>
      <c r="H20" s="58">
        <v>88.2</v>
      </c>
      <c r="I20" s="58">
        <v>95.555555555555557</v>
      </c>
      <c r="J20" s="58">
        <v>79</v>
      </c>
      <c r="K20" s="58">
        <v>82.222222222222229</v>
      </c>
      <c r="L20" s="58">
        <v>88.2</v>
      </c>
      <c r="M20" s="58">
        <v>94.333333333333329</v>
      </c>
      <c r="N20" s="58">
        <v>88</v>
      </c>
      <c r="O20" s="58">
        <v>93.111111111111114</v>
      </c>
      <c r="P20" s="58">
        <v>87</v>
      </c>
      <c r="Q20" s="58">
        <v>86.944444444444443</v>
      </c>
      <c r="R20" s="58">
        <v>83</v>
      </c>
      <c r="S20" s="58">
        <v>90.5</v>
      </c>
      <c r="T20" s="58">
        <v>86</v>
      </c>
      <c r="U20" s="58">
        <v>83.055555555555557</v>
      </c>
      <c r="V20" s="58">
        <v>85</v>
      </c>
      <c r="W20" s="58">
        <v>85</v>
      </c>
    </row>
    <row r="21" spans="3:23" x14ac:dyDescent="0.25">
      <c r="C21" s="24" t="s">
        <v>4</v>
      </c>
      <c r="D21" s="58">
        <v>96</v>
      </c>
      <c r="E21" s="58">
        <v>67.222222222222229</v>
      </c>
      <c r="F21" s="58">
        <v>79.25</v>
      </c>
      <c r="G21" s="58">
        <v>73.888888888888886</v>
      </c>
      <c r="H21" s="58">
        <v>79</v>
      </c>
      <c r="I21" s="58">
        <v>85.277777777777771</v>
      </c>
      <c r="J21" s="58">
        <v>100</v>
      </c>
      <c r="K21" s="58">
        <v>82.166666666666671</v>
      </c>
      <c r="L21" s="58">
        <v>86.5</v>
      </c>
      <c r="M21" s="58">
        <v>89.388888888888886</v>
      </c>
      <c r="N21" s="58">
        <v>91</v>
      </c>
      <c r="O21" s="58">
        <v>93.777777777777771</v>
      </c>
      <c r="P21" s="58">
        <v>100</v>
      </c>
      <c r="Q21" s="58">
        <v>84.944444444444443</v>
      </c>
      <c r="R21" s="58">
        <v>100</v>
      </c>
      <c r="S21" s="58">
        <v>70.666666666666671</v>
      </c>
      <c r="T21" s="58">
        <v>100</v>
      </c>
      <c r="U21" s="58">
        <v>84.166666666666671</v>
      </c>
      <c r="V21" s="58">
        <v>91</v>
      </c>
      <c r="W21" s="58">
        <v>79.722222222222229</v>
      </c>
    </row>
    <row r="22" spans="3:23" x14ac:dyDescent="0.25">
      <c r="C22" s="24" t="s">
        <v>5</v>
      </c>
      <c r="D22" s="58">
        <v>95.5</v>
      </c>
      <c r="E22" s="58">
        <v>87.166666666666671</v>
      </c>
      <c r="F22" s="58">
        <v>98.75</v>
      </c>
      <c r="G22" s="58">
        <v>82.666666666666671</v>
      </c>
      <c r="H22" s="58">
        <v>99</v>
      </c>
      <c r="I22" s="58">
        <v>92.666666666666671</v>
      </c>
      <c r="J22" s="58">
        <v>93.25</v>
      </c>
      <c r="K22" s="58">
        <v>80.555555555555557</v>
      </c>
      <c r="L22" s="58">
        <v>93.5</v>
      </c>
      <c r="M22" s="58">
        <v>85.722222222222229</v>
      </c>
      <c r="N22" s="58">
        <v>93</v>
      </c>
      <c r="O22" s="58">
        <v>88.5</v>
      </c>
      <c r="P22" s="58">
        <v>95.5</v>
      </c>
      <c r="Q22" s="58">
        <v>83.555555555555557</v>
      </c>
      <c r="R22" s="58">
        <v>98.75</v>
      </c>
      <c r="S22" s="58">
        <v>76.388888888888886</v>
      </c>
      <c r="T22" s="58">
        <v>93.25</v>
      </c>
      <c r="U22" s="58">
        <v>86.166666666666671</v>
      </c>
      <c r="V22" s="58">
        <v>94.25</v>
      </c>
      <c r="W22" s="58">
        <v>73.333333333333329</v>
      </c>
    </row>
    <row r="23" spans="3:23" x14ac:dyDescent="0.25">
      <c r="C23" s="24" t="s">
        <v>6</v>
      </c>
      <c r="D23" s="58">
        <v>14.25</v>
      </c>
      <c r="E23" s="58">
        <v>83.166666666666671</v>
      </c>
      <c r="F23" s="58">
        <v>0</v>
      </c>
      <c r="G23" s="58">
        <v>80.666666666666671</v>
      </c>
      <c r="H23" s="58">
        <v>79</v>
      </c>
      <c r="I23" s="58">
        <v>89.277777777777771</v>
      </c>
      <c r="J23" s="58">
        <v>16</v>
      </c>
      <c r="K23" s="58">
        <v>93.888888888888886</v>
      </c>
      <c r="L23" s="58">
        <v>90</v>
      </c>
      <c r="M23" s="58">
        <v>92.5</v>
      </c>
      <c r="N23" s="58">
        <v>85.5</v>
      </c>
      <c r="O23" s="58">
        <v>93.277777777777771</v>
      </c>
      <c r="P23" s="58">
        <v>5.2</v>
      </c>
      <c r="Q23" s="58">
        <v>84.722222222222229</v>
      </c>
      <c r="R23" s="58">
        <v>41</v>
      </c>
      <c r="S23" s="58">
        <v>86.666666666666671</v>
      </c>
      <c r="T23" s="58">
        <v>0</v>
      </c>
      <c r="U23" s="58">
        <v>83.055555555555557</v>
      </c>
      <c r="V23" s="58">
        <v>0</v>
      </c>
      <c r="W23" s="58">
        <v>84.444444444444443</v>
      </c>
    </row>
    <row r="24" spans="3:23" x14ac:dyDescent="0.25">
      <c r="D24" s="53">
        <f>AVERAGE(D14:D23)</f>
        <v>83.655555555555551</v>
      </c>
      <c r="E24" s="53">
        <f t="shared" ref="E24:W24" si="0">AVERAGE(E14:E23)</f>
        <v>83.655555555555537</v>
      </c>
      <c r="F24" s="53">
        <f t="shared" si="0"/>
        <v>77.188888888888897</v>
      </c>
      <c r="G24" s="53">
        <f t="shared" si="0"/>
        <v>77.188888888888897</v>
      </c>
      <c r="H24" s="53">
        <f t="shared" si="0"/>
        <v>88.744444444444454</v>
      </c>
      <c r="I24" s="53">
        <f t="shared" si="0"/>
        <v>88.74444444444444</v>
      </c>
      <c r="J24" s="53">
        <f t="shared" si="0"/>
        <v>78.424999999999997</v>
      </c>
      <c r="K24" s="53">
        <f t="shared" si="0"/>
        <v>81.583333333333329</v>
      </c>
      <c r="L24" s="53">
        <f t="shared" si="0"/>
        <v>90.742500000000007</v>
      </c>
      <c r="M24" s="53">
        <f t="shared" si="0"/>
        <v>90.283333333333346</v>
      </c>
      <c r="N24" s="53">
        <f t="shared" si="0"/>
        <v>91.62</v>
      </c>
      <c r="O24" s="53">
        <f t="shared" si="0"/>
        <v>90.983333333333348</v>
      </c>
      <c r="P24" s="53">
        <f t="shared" si="0"/>
        <v>85.495000000000005</v>
      </c>
      <c r="Q24" s="53">
        <f t="shared" si="0"/>
        <v>84.072222222222223</v>
      </c>
      <c r="R24" s="53">
        <f t="shared" si="0"/>
        <v>82.765000000000001</v>
      </c>
      <c r="S24" s="53">
        <f t="shared" si="0"/>
        <v>84.194444444444443</v>
      </c>
      <c r="T24" s="53">
        <f t="shared" si="0"/>
        <v>82.89500000000001</v>
      </c>
      <c r="U24" s="53">
        <f t="shared" si="0"/>
        <v>83.177777777777777</v>
      </c>
      <c r="V24" s="53">
        <f t="shared" si="0"/>
        <v>82.025000000000006</v>
      </c>
      <c r="W24" s="53">
        <f t="shared" si="0"/>
        <v>82.222222222222214</v>
      </c>
    </row>
    <row r="30" spans="3:23" x14ac:dyDescent="0.25">
      <c r="C30" s="154"/>
      <c r="D30" s="154" t="s">
        <v>34</v>
      </c>
      <c r="E30" s="154"/>
      <c r="F30" s="154" t="s">
        <v>35</v>
      </c>
      <c r="G30" s="154"/>
      <c r="H30" t="s">
        <v>34</v>
      </c>
      <c r="I30" t="s">
        <v>35</v>
      </c>
    </row>
    <row r="31" spans="3:23" x14ac:dyDescent="0.25">
      <c r="C31" s="154"/>
      <c r="D31" s="29" t="s">
        <v>132</v>
      </c>
      <c r="E31" s="29" t="s">
        <v>133</v>
      </c>
      <c r="F31" s="29" t="s">
        <v>132</v>
      </c>
      <c r="G31" s="29" t="s">
        <v>133</v>
      </c>
      <c r="H31" s="129"/>
    </row>
    <row r="32" spans="3:23" x14ac:dyDescent="0.25">
      <c r="C32" s="24" t="s">
        <v>25</v>
      </c>
      <c r="D32" s="59">
        <f>MIN(D14,F14,H14,J14,L14,N14,P14,R14,T14,V14)</f>
        <v>89.1</v>
      </c>
      <c r="E32" s="59">
        <f>MAX(D14,F14,H14,J14,L14,N14,P14,R14,T14,V14)</f>
        <v>98.1</v>
      </c>
      <c r="F32" s="59">
        <f>MIN(E14,G14,I14,K14,M14,O14,Q14,S14,U14,W14)</f>
        <v>72.5</v>
      </c>
      <c r="G32" s="59">
        <f>MAX(E14,G14,I14,K14,M14,O14,Q14,S14,U14,W14)</f>
        <v>90.833333333333329</v>
      </c>
      <c r="H32" s="53">
        <f>AVERAGE(D14,F14,H14,J14,L14,N14,P14,R14,T14,V14)</f>
        <v>94.534999999999997</v>
      </c>
      <c r="I32" s="53">
        <f>AVERAGE(E14,G14,I14,K14,M14,O14,Q14,S14,U14,W14)</f>
        <v>82.711111111111123</v>
      </c>
    </row>
    <row r="33" spans="3:23" x14ac:dyDescent="0.25">
      <c r="C33" s="24" t="s">
        <v>30</v>
      </c>
      <c r="D33" s="59">
        <f t="shared" ref="D33:D41" si="1">MIN(D15,F15,H15,J15,L15,N15,P15,R15,T15,V15)</f>
        <v>76</v>
      </c>
      <c r="E33" s="59">
        <f t="shared" ref="E33:E41" si="2">MAX(D15,F15,H15,J15,L15,N15,P15,R15,T15,V15)</f>
        <v>100</v>
      </c>
      <c r="F33" s="59">
        <f t="shared" ref="F33:F41" si="3">MIN(E15,G15,I15,K15,M15,O15,Q15,S15,U15,W15)</f>
        <v>61.944444444444443</v>
      </c>
      <c r="G33" s="59">
        <f t="shared" ref="G33:G41" si="4">MAX(E15,G15,I15,K15,M15,O15,Q15,S15,U15,W15)</f>
        <v>89.722222222222229</v>
      </c>
      <c r="H33" s="53">
        <f t="shared" ref="H33:H41" si="5">AVERAGE(D15,F15,H15,J15,L15,N15,P15,R15,T15,V15)</f>
        <v>95.03</v>
      </c>
      <c r="I33" s="53">
        <f t="shared" ref="I33:I41" si="6">AVERAGE(E15,G15,I15,K15,M15,O15,Q15,S15,U15,W15)</f>
        <v>79.95</v>
      </c>
    </row>
    <row r="34" spans="3:23" x14ac:dyDescent="0.25">
      <c r="C34" s="24" t="s">
        <v>0</v>
      </c>
      <c r="D34" s="59">
        <f t="shared" si="1"/>
        <v>67</v>
      </c>
      <c r="E34" s="59">
        <f t="shared" si="2"/>
        <v>92.7</v>
      </c>
      <c r="F34" s="59">
        <f t="shared" si="3"/>
        <v>73.055555555555557</v>
      </c>
      <c r="G34" s="59">
        <f t="shared" si="4"/>
        <v>93.888888888888886</v>
      </c>
      <c r="H34" s="53">
        <f t="shared" si="5"/>
        <v>79.669999999999987</v>
      </c>
      <c r="I34" s="53">
        <f t="shared" si="6"/>
        <v>84.394444444444446</v>
      </c>
    </row>
    <row r="35" spans="3:23" x14ac:dyDescent="0.25">
      <c r="C35" s="24" t="s">
        <v>117</v>
      </c>
      <c r="D35" s="59">
        <f t="shared" si="1"/>
        <v>50</v>
      </c>
      <c r="E35" s="59">
        <f t="shared" si="2"/>
        <v>98.3</v>
      </c>
      <c r="F35" s="59">
        <f t="shared" si="3"/>
        <v>78.5</v>
      </c>
      <c r="G35" s="59">
        <f t="shared" si="4"/>
        <v>95.277777777777771</v>
      </c>
      <c r="H35" s="53">
        <f t="shared" si="5"/>
        <v>81.575000000000003</v>
      </c>
      <c r="I35" s="53">
        <f t="shared" si="6"/>
        <v>87.011111111111106</v>
      </c>
    </row>
    <row r="36" spans="3:23" x14ac:dyDescent="0.25">
      <c r="C36" s="24" t="s">
        <v>1</v>
      </c>
      <c r="D36" s="59">
        <f t="shared" si="1"/>
        <v>68.5</v>
      </c>
      <c r="E36" s="59">
        <f t="shared" si="2"/>
        <v>95.5</v>
      </c>
      <c r="F36" s="59">
        <f t="shared" si="3"/>
        <v>71.444444444444443</v>
      </c>
      <c r="G36" s="59">
        <f t="shared" si="4"/>
        <v>93.5</v>
      </c>
      <c r="H36" s="53">
        <f t="shared" si="5"/>
        <v>89.53</v>
      </c>
      <c r="I36" s="53">
        <f t="shared" si="6"/>
        <v>83.288888888888891</v>
      </c>
      <c r="R36" s="156" t="s">
        <v>191</v>
      </c>
      <c r="S36" s="156"/>
      <c r="T36" s="156"/>
      <c r="U36" s="156"/>
      <c r="V36" s="156"/>
      <c r="W36" s="156"/>
    </row>
    <row r="37" spans="3:23" x14ac:dyDescent="0.25">
      <c r="C37" s="24" t="s">
        <v>2</v>
      </c>
      <c r="D37" s="59">
        <f t="shared" si="1"/>
        <v>96</v>
      </c>
      <c r="E37" s="59">
        <f t="shared" si="2"/>
        <v>100</v>
      </c>
      <c r="F37" s="59">
        <f t="shared" si="3"/>
        <v>82.111111111111114</v>
      </c>
      <c r="G37" s="59">
        <f t="shared" si="4"/>
        <v>94.888888888888886</v>
      </c>
      <c r="H37" s="53">
        <f t="shared" si="5"/>
        <v>98.445000000000007</v>
      </c>
      <c r="I37" s="53">
        <f t="shared" si="6"/>
        <v>88.811111111111117</v>
      </c>
      <c r="R37" t="s">
        <v>25</v>
      </c>
      <c r="S37" t="s">
        <v>181</v>
      </c>
    </row>
    <row r="38" spans="3:23" x14ac:dyDescent="0.25">
      <c r="C38" s="24" t="s">
        <v>3</v>
      </c>
      <c r="D38" s="59">
        <f t="shared" si="1"/>
        <v>59</v>
      </c>
      <c r="E38" s="59">
        <f t="shared" si="2"/>
        <v>91</v>
      </c>
      <c r="F38" s="59">
        <f t="shared" si="3"/>
        <v>80.277777777777771</v>
      </c>
      <c r="G38" s="59">
        <f t="shared" si="4"/>
        <v>95.555555555555557</v>
      </c>
      <c r="H38" s="53">
        <f t="shared" si="5"/>
        <v>83.44</v>
      </c>
      <c r="I38" s="53">
        <f t="shared" si="6"/>
        <v>87.977777777777774</v>
      </c>
      <c r="R38" t="s">
        <v>30</v>
      </c>
      <c r="S38" t="s">
        <v>182</v>
      </c>
    </row>
    <row r="39" spans="3:23" x14ac:dyDescent="0.25">
      <c r="C39" s="24" t="s">
        <v>4</v>
      </c>
      <c r="D39" s="59">
        <f t="shared" si="1"/>
        <v>79</v>
      </c>
      <c r="E39" s="59">
        <f t="shared" si="2"/>
        <v>100</v>
      </c>
      <c r="F39" s="59">
        <f t="shared" si="3"/>
        <v>67.222222222222229</v>
      </c>
      <c r="G39" s="59">
        <f t="shared" si="4"/>
        <v>93.777777777777771</v>
      </c>
      <c r="H39" s="53">
        <f t="shared" si="5"/>
        <v>92.275000000000006</v>
      </c>
      <c r="I39" s="53">
        <f t="shared" si="6"/>
        <v>81.12222222222222</v>
      </c>
      <c r="R39" t="s">
        <v>0</v>
      </c>
      <c r="S39" t="s">
        <v>183</v>
      </c>
    </row>
    <row r="40" spans="3:23" x14ac:dyDescent="0.25">
      <c r="C40" s="24" t="s">
        <v>5</v>
      </c>
      <c r="D40" s="59">
        <f t="shared" si="1"/>
        <v>93</v>
      </c>
      <c r="E40" s="59">
        <f t="shared" si="2"/>
        <v>99</v>
      </c>
      <c r="F40" s="59">
        <f t="shared" si="3"/>
        <v>73.333333333333329</v>
      </c>
      <c r="G40" s="59">
        <f t="shared" si="4"/>
        <v>92.666666666666671</v>
      </c>
      <c r="H40" s="53">
        <f t="shared" si="5"/>
        <v>95.474999999999994</v>
      </c>
      <c r="I40" s="53">
        <f t="shared" si="6"/>
        <v>83.672222222222231</v>
      </c>
      <c r="R40" t="s">
        <v>117</v>
      </c>
      <c r="S40" t="s">
        <v>184</v>
      </c>
    </row>
    <row r="41" spans="3:23" x14ac:dyDescent="0.25">
      <c r="C41" s="24" t="s">
        <v>6</v>
      </c>
      <c r="D41" s="59">
        <f t="shared" si="1"/>
        <v>0</v>
      </c>
      <c r="E41" s="59">
        <f t="shared" si="2"/>
        <v>90</v>
      </c>
      <c r="F41" s="59">
        <f t="shared" si="3"/>
        <v>80.666666666666671</v>
      </c>
      <c r="G41" s="59">
        <f t="shared" si="4"/>
        <v>93.888888888888886</v>
      </c>
      <c r="H41" s="53">
        <f t="shared" si="5"/>
        <v>33.094999999999999</v>
      </c>
      <c r="I41" s="53">
        <f t="shared" si="6"/>
        <v>87.166666666666657</v>
      </c>
      <c r="R41" t="s">
        <v>1</v>
      </c>
      <c r="S41" t="s">
        <v>188</v>
      </c>
    </row>
    <row r="42" spans="3:23" x14ac:dyDescent="0.25">
      <c r="D42" s="63">
        <f>MIN(D32:D41)</f>
        <v>0</v>
      </c>
      <c r="E42" s="63">
        <f>MAX(E32:E41)</f>
        <v>100</v>
      </c>
      <c r="F42" s="63">
        <f>MIN(F32:F41)</f>
        <v>61.944444444444443</v>
      </c>
      <c r="G42" s="63">
        <f>MAX(G32:G41)</f>
        <v>95.555555555555557</v>
      </c>
      <c r="H42" s="53"/>
      <c r="R42" t="s">
        <v>2</v>
      </c>
      <c r="S42" t="s">
        <v>189</v>
      </c>
    </row>
    <row r="43" spans="3:23" x14ac:dyDescent="0.25">
      <c r="D43" s="62" t="s">
        <v>136</v>
      </c>
      <c r="E43" s="62" t="s">
        <v>135</v>
      </c>
      <c r="F43" s="62" t="s">
        <v>136</v>
      </c>
      <c r="G43" s="62" t="s">
        <v>135</v>
      </c>
      <c r="R43" t="s">
        <v>3</v>
      </c>
      <c r="S43" t="s">
        <v>185</v>
      </c>
    </row>
    <row r="44" spans="3:23" x14ac:dyDescent="0.25">
      <c r="R44" t="s">
        <v>4</v>
      </c>
      <c r="S44" t="s">
        <v>190</v>
      </c>
    </row>
    <row r="45" spans="3:23" x14ac:dyDescent="0.25">
      <c r="R45" t="s">
        <v>5</v>
      </c>
      <c r="S45" t="s">
        <v>187</v>
      </c>
    </row>
    <row r="46" spans="3:23" x14ac:dyDescent="0.25">
      <c r="C46" s="61" t="s">
        <v>120</v>
      </c>
      <c r="D46" s="60" t="s">
        <v>137</v>
      </c>
      <c r="E46" s="60" t="s">
        <v>138</v>
      </c>
      <c r="F46" s="60" t="s">
        <v>139</v>
      </c>
      <c r="H46">
        <v>1</v>
      </c>
      <c r="I46" s="153" t="s">
        <v>192</v>
      </c>
      <c r="J46" s="153"/>
      <c r="K46" s="153"/>
      <c r="L46" s="153"/>
      <c r="M46" s="153"/>
      <c r="N46" s="153" t="s">
        <v>30</v>
      </c>
      <c r="O46" s="153"/>
      <c r="R46" t="s">
        <v>6</v>
      </c>
      <c r="S46" t="s">
        <v>186</v>
      </c>
    </row>
    <row r="47" spans="3:23" x14ac:dyDescent="0.25">
      <c r="C47" t="s">
        <v>25</v>
      </c>
      <c r="D47">
        <v>2024</v>
      </c>
      <c r="E47">
        <v>2018</v>
      </c>
      <c r="F47" s="1" t="s">
        <v>140</v>
      </c>
      <c r="H47">
        <v>2</v>
      </c>
      <c r="I47" s="153" t="s">
        <v>150</v>
      </c>
      <c r="J47" s="153"/>
      <c r="K47" s="153"/>
      <c r="L47" s="153"/>
      <c r="M47" s="153"/>
      <c r="N47" s="153" t="s">
        <v>2</v>
      </c>
      <c r="O47" s="153"/>
    </row>
    <row r="48" spans="3:23" x14ac:dyDescent="0.25">
      <c r="C48" t="s">
        <v>30</v>
      </c>
      <c r="D48">
        <v>2025</v>
      </c>
      <c r="E48">
        <v>2023</v>
      </c>
      <c r="F48" s="1" t="s">
        <v>141</v>
      </c>
      <c r="H48">
        <v>3</v>
      </c>
      <c r="I48" s="153" t="s">
        <v>151</v>
      </c>
      <c r="J48" s="153"/>
      <c r="K48" s="153"/>
      <c r="L48" s="153"/>
      <c r="M48" s="153"/>
      <c r="N48" s="153" t="s">
        <v>30</v>
      </c>
      <c r="O48" s="153"/>
    </row>
    <row r="49" spans="1:25" ht="27" customHeight="1" x14ac:dyDescent="0.25">
      <c r="C49" t="s">
        <v>0</v>
      </c>
      <c r="D49">
        <v>2025</v>
      </c>
      <c r="E49">
        <v>2023</v>
      </c>
      <c r="F49" s="1" t="s">
        <v>142</v>
      </c>
      <c r="H49">
        <v>4</v>
      </c>
      <c r="I49" s="153" t="s">
        <v>152</v>
      </c>
      <c r="J49" s="153"/>
      <c r="K49" s="153"/>
      <c r="L49" s="153"/>
      <c r="M49" s="153"/>
      <c r="N49" s="157" t="s">
        <v>153</v>
      </c>
      <c r="O49" s="157"/>
    </row>
    <row r="50" spans="1:25" x14ac:dyDescent="0.25">
      <c r="C50" t="s">
        <v>117</v>
      </c>
      <c r="D50">
        <v>2024</v>
      </c>
      <c r="E50">
        <v>2023</v>
      </c>
      <c r="F50" s="1" t="s">
        <v>143</v>
      </c>
      <c r="H50">
        <v>5</v>
      </c>
      <c r="I50" s="153" t="s">
        <v>154</v>
      </c>
      <c r="J50" s="153"/>
      <c r="K50" s="153"/>
      <c r="L50" s="153"/>
      <c r="M50" s="153"/>
      <c r="N50" t="s">
        <v>2</v>
      </c>
    </row>
    <row r="51" spans="1:25" x14ac:dyDescent="0.25">
      <c r="C51" t="s">
        <v>1</v>
      </c>
      <c r="D51">
        <v>2022</v>
      </c>
      <c r="E51">
        <v>2023</v>
      </c>
      <c r="F51" s="1" t="s">
        <v>144</v>
      </c>
      <c r="H51">
        <v>6</v>
      </c>
      <c r="I51" s="153" t="s">
        <v>155</v>
      </c>
      <c r="J51" s="153"/>
      <c r="K51" s="153"/>
      <c r="L51" s="153"/>
      <c r="M51" s="153"/>
      <c r="N51" t="s">
        <v>156</v>
      </c>
    </row>
    <row r="52" spans="1:25" x14ac:dyDescent="0.25">
      <c r="C52" t="s">
        <v>2</v>
      </c>
      <c r="D52">
        <v>2025</v>
      </c>
      <c r="E52">
        <v>2023</v>
      </c>
      <c r="F52" s="1" t="s">
        <v>145</v>
      </c>
      <c r="H52">
        <v>7</v>
      </c>
      <c r="I52" s="153" t="s">
        <v>157</v>
      </c>
      <c r="J52" s="153"/>
      <c r="K52" s="153"/>
      <c r="L52" s="153"/>
      <c r="M52" s="153"/>
      <c r="N52" t="s">
        <v>117</v>
      </c>
    </row>
    <row r="53" spans="1:25" x14ac:dyDescent="0.25">
      <c r="C53" t="s">
        <v>3</v>
      </c>
      <c r="D53">
        <v>2025</v>
      </c>
      <c r="E53">
        <v>2023</v>
      </c>
      <c r="F53" s="1" t="s">
        <v>146</v>
      </c>
      <c r="H53">
        <v>8</v>
      </c>
      <c r="I53" s="153"/>
      <c r="J53" s="153"/>
      <c r="K53" s="153"/>
      <c r="L53" s="153"/>
      <c r="M53" s="153"/>
    </row>
    <row r="54" spans="1:25" x14ac:dyDescent="0.25">
      <c r="C54" t="s">
        <v>4</v>
      </c>
      <c r="D54">
        <v>2025</v>
      </c>
      <c r="E54">
        <v>2023</v>
      </c>
      <c r="F54" s="1" t="s">
        <v>147</v>
      </c>
      <c r="H54">
        <v>9</v>
      </c>
      <c r="I54" s="153"/>
      <c r="J54" s="153"/>
      <c r="K54" s="153"/>
      <c r="L54" s="153"/>
      <c r="M54" s="153"/>
    </row>
    <row r="55" spans="1:25" x14ac:dyDescent="0.25">
      <c r="C55" t="s">
        <v>5</v>
      </c>
      <c r="D55">
        <v>2025</v>
      </c>
      <c r="E55">
        <v>2023</v>
      </c>
      <c r="F55" s="1" t="s">
        <v>148</v>
      </c>
      <c r="H55">
        <v>10</v>
      </c>
      <c r="I55" s="153"/>
      <c r="J55" s="153"/>
      <c r="K55" s="153"/>
      <c r="L55" s="153"/>
      <c r="M55" s="153"/>
    </row>
    <row r="56" spans="1:25" ht="15" customHeight="1" x14ac:dyDescent="0.25">
      <c r="C56" t="s">
        <v>6</v>
      </c>
      <c r="D56">
        <v>2025</v>
      </c>
      <c r="E56">
        <v>2023</v>
      </c>
      <c r="F56" s="1" t="s">
        <v>149</v>
      </c>
      <c r="H56">
        <v>11</v>
      </c>
      <c r="I56" s="153"/>
      <c r="J56" s="153"/>
      <c r="K56" s="153"/>
      <c r="L56" s="153"/>
      <c r="M56" s="153"/>
      <c r="U56" s="152" t="s">
        <v>549</v>
      </c>
      <c r="V56" s="152"/>
      <c r="W56" s="152"/>
      <c r="X56" s="152"/>
      <c r="Y56" s="152"/>
    </row>
    <row r="57" spans="1:25" x14ac:dyDescent="0.25">
      <c r="H57">
        <v>12</v>
      </c>
      <c r="I57" s="153"/>
      <c r="J57" s="153"/>
      <c r="K57" s="153"/>
      <c r="L57" s="153"/>
      <c r="M57" s="153"/>
      <c r="U57" s="152"/>
      <c r="V57" s="152"/>
      <c r="W57" s="152"/>
      <c r="X57" s="152"/>
      <c r="Y57" s="152"/>
    </row>
    <row r="58" spans="1:25" x14ac:dyDescent="0.25">
      <c r="H58">
        <v>13</v>
      </c>
      <c r="U58" s="152"/>
      <c r="V58" s="152"/>
      <c r="W58" s="152"/>
      <c r="X58" s="152"/>
      <c r="Y58" s="152"/>
    </row>
    <row r="59" spans="1:25" x14ac:dyDescent="0.25">
      <c r="H59">
        <v>14</v>
      </c>
      <c r="U59" s="152"/>
      <c r="V59" s="152"/>
      <c r="W59" s="152"/>
      <c r="X59" s="152"/>
      <c r="Y59" s="152"/>
    </row>
    <row r="60" spans="1:25" x14ac:dyDescent="0.25">
      <c r="U60" s="152"/>
      <c r="V60" s="152"/>
      <c r="W60" s="152"/>
      <c r="X60" s="152"/>
      <c r="Y60" s="152"/>
    </row>
    <row r="61" spans="1:25" x14ac:dyDescent="0.25">
      <c r="U61" s="152"/>
      <c r="V61" s="152"/>
      <c r="W61" s="152"/>
      <c r="X61" s="152"/>
      <c r="Y61" s="152"/>
    </row>
    <row r="62" spans="1:25" x14ac:dyDescent="0.25">
      <c r="U62" s="152"/>
      <c r="V62" s="152"/>
      <c r="W62" s="152"/>
      <c r="X62" s="152"/>
      <c r="Y62" s="152"/>
    </row>
    <row r="63" spans="1:25" x14ac:dyDescent="0.25">
      <c r="Q63" t="s">
        <v>180</v>
      </c>
      <c r="R63" t="s">
        <v>180</v>
      </c>
      <c r="U63" s="152"/>
      <c r="V63" s="152"/>
      <c r="W63" s="152"/>
      <c r="X63" s="152"/>
      <c r="Y63" s="152"/>
    </row>
    <row r="64" spans="1:25" x14ac:dyDescent="0.25">
      <c r="A64" t="s">
        <v>7</v>
      </c>
      <c r="B64" t="s">
        <v>169</v>
      </c>
      <c r="C64" t="s">
        <v>170</v>
      </c>
      <c r="D64" t="s">
        <v>171</v>
      </c>
      <c r="E64" t="s">
        <v>172</v>
      </c>
      <c r="F64" t="s">
        <v>173</v>
      </c>
      <c r="G64" t="s">
        <v>174</v>
      </c>
      <c r="H64" t="s">
        <v>175</v>
      </c>
      <c r="I64" t="s">
        <v>164</v>
      </c>
      <c r="J64" t="s">
        <v>167</v>
      </c>
      <c r="K64" t="s">
        <v>165</v>
      </c>
      <c r="L64" t="s">
        <v>163</v>
      </c>
      <c r="M64" t="s">
        <v>166</v>
      </c>
      <c r="N64" t="s">
        <v>176</v>
      </c>
      <c r="O64" t="s">
        <v>177</v>
      </c>
      <c r="P64" t="s">
        <v>168</v>
      </c>
      <c r="Q64" t="s">
        <v>178</v>
      </c>
      <c r="R64" t="s">
        <v>179</v>
      </c>
      <c r="U64" s="152"/>
      <c r="V64" s="152"/>
      <c r="W64" s="152"/>
      <c r="X64" s="152"/>
      <c r="Y64" s="152"/>
    </row>
    <row r="65" spans="1:32" x14ac:dyDescent="0.25">
      <c r="A65" t="s">
        <v>25</v>
      </c>
      <c r="B65">
        <v>89.1</v>
      </c>
      <c r="C65">
        <v>98.1</v>
      </c>
      <c r="D65">
        <v>72.5</v>
      </c>
      <c r="E65">
        <v>90.83</v>
      </c>
      <c r="F65">
        <v>2024</v>
      </c>
      <c r="G65">
        <v>2018</v>
      </c>
      <c r="H65">
        <f>(B65+C65)/2</f>
        <v>93.6</v>
      </c>
      <c r="I65" s="53">
        <f>(D65+E65)/2</f>
        <v>81.664999999999992</v>
      </c>
      <c r="J65">
        <f>C65-B65</f>
        <v>9</v>
      </c>
      <c r="K65">
        <f>E65-D65</f>
        <v>18.329999999999998</v>
      </c>
      <c r="L65" s="53">
        <f>100-((D65+E65)/2)</f>
        <v>18.335000000000008</v>
      </c>
      <c r="M65">
        <f>H65</f>
        <v>93.6</v>
      </c>
      <c r="N65">
        <f>_xlfn.RANK.EQ(L65,$L$65:L$74)</f>
        <v>3</v>
      </c>
      <c r="O65">
        <f>_xlfn.RANK.EQ(M65,$M$65:$M$74)</f>
        <v>3</v>
      </c>
      <c r="P65" s="53">
        <f>L65*M65</f>
        <v>1716.1560000000006</v>
      </c>
      <c r="Q65" s="53">
        <f>2025-F65+(8/12)</f>
        <v>1.6666666666666665</v>
      </c>
      <c r="R65" s="53">
        <f>2025-G65+(8/12)</f>
        <v>7.666666666666667</v>
      </c>
      <c r="U65" s="152"/>
      <c r="V65" s="152"/>
      <c r="W65" s="152"/>
      <c r="X65" s="152"/>
      <c r="Y65" s="152"/>
    </row>
    <row r="66" spans="1:32" x14ac:dyDescent="0.25">
      <c r="A66" t="s">
        <v>30</v>
      </c>
      <c r="B66">
        <v>76</v>
      </c>
      <c r="C66">
        <v>100</v>
      </c>
      <c r="D66">
        <v>61.94</v>
      </c>
      <c r="E66">
        <v>89.72</v>
      </c>
      <c r="F66">
        <v>2025</v>
      </c>
      <c r="G66">
        <v>2023</v>
      </c>
      <c r="H66">
        <f t="shared" ref="H66:H74" si="7">(B66+C66)/2</f>
        <v>88</v>
      </c>
      <c r="I66" s="53">
        <f t="shared" ref="I66:I74" si="8">(D66+E66)/2</f>
        <v>75.83</v>
      </c>
      <c r="J66">
        <f t="shared" ref="J66:J74" si="9">C66-B66</f>
        <v>24</v>
      </c>
      <c r="K66">
        <f t="shared" ref="K66:K74" si="10">E66-D66</f>
        <v>27.78</v>
      </c>
      <c r="L66" s="53">
        <f t="shared" ref="L66:L74" si="11">100-((D66+E66)/2)</f>
        <v>24.17</v>
      </c>
      <c r="M66">
        <f t="shared" ref="M66:M74" si="12">H66</f>
        <v>88</v>
      </c>
      <c r="N66">
        <v>1</v>
      </c>
      <c r="O66">
        <f t="shared" ref="O66:O74" si="13">_xlfn.RANK.EQ(M66,$M$65:$M$74)</f>
        <v>5</v>
      </c>
      <c r="P66" s="53">
        <f t="shared" ref="P66:P74" si="14">L66*M66</f>
        <v>2126.96</v>
      </c>
      <c r="Q66" s="53">
        <f t="shared" ref="Q66:Q74" si="15">2025-F66+(8/12)</f>
        <v>0.66666666666666663</v>
      </c>
      <c r="R66" s="53">
        <f t="shared" ref="R66:R74" si="16">2025-G66+(8/12)</f>
        <v>2.6666666666666665</v>
      </c>
      <c r="U66" s="152"/>
      <c r="V66" s="152"/>
      <c r="W66" s="152"/>
      <c r="X66" s="152"/>
      <c r="Y66" s="152"/>
    </row>
    <row r="67" spans="1:32" x14ac:dyDescent="0.25">
      <c r="A67" t="s">
        <v>0</v>
      </c>
      <c r="B67">
        <v>67</v>
      </c>
      <c r="C67">
        <v>92.7</v>
      </c>
      <c r="D67">
        <v>73.06</v>
      </c>
      <c r="E67">
        <v>93.89</v>
      </c>
      <c r="F67">
        <v>2025</v>
      </c>
      <c r="G67">
        <v>2023</v>
      </c>
      <c r="H67">
        <f t="shared" si="7"/>
        <v>79.849999999999994</v>
      </c>
      <c r="I67" s="53">
        <f t="shared" si="8"/>
        <v>83.474999999999994</v>
      </c>
      <c r="J67">
        <f t="shared" si="9"/>
        <v>25.700000000000003</v>
      </c>
      <c r="K67">
        <f t="shared" si="10"/>
        <v>20.83</v>
      </c>
      <c r="L67" s="53">
        <f t="shared" si="11"/>
        <v>16.525000000000006</v>
      </c>
      <c r="M67">
        <f t="shared" si="12"/>
        <v>79.849999999999994</v>
      </c>
      <c r="N67">
        <v>6</v>
      </c>
      <c r="O67">
        <f t="shared" si="13"/>
        <v>7</v>
      </c>
      <c r="P67" s="53">
        <f t="shared" si="14"/>
        <v>1319.5212500000005</v>
      </c>
      <c r="Q67" s="53">
        <f t="shared" si="15"/>
        <v>0.66666666666666663</v>
      </c>
      <c r="R67" s="53">
        <f t="shared" si="16"/>
        <v>2.6666666666666665</v>
      </c>
    </row>
    <row r="68" spans="1:32" x14ac:dyDescent="0.25">
      <c r="A68" t="s">
        <v>117</v>
      </c>
      <c r="B68">
        <v>50</v>
      </c>
      <c r="C68">
        <v>98.3</v>
      </c>
      <c r="D68">
        <v>78.5</v>
      </c>
      <c r="E68">
        <v>95.28</v>
      </c>
      <c r="F68">
        <v>2024</v>
      </c>
      <c r="G68">
        <v>2023</v>
      </c>
      <c r="H68">
        <f t="shared" si="7"/>
        <v>74.150000000000006</v>
      </c>
      <c r="I68" s="53">
        <f t="shared" si="8"/>
        <v>86.89</v>
      </c>
      <c r="J68">
        <f t="shared" si="9"/>
        <v>48.3</v>
      </c>
      <c r="K68">
        <f t="shared" si="10"/>
        <v>16.78</v>
      </c>
      <c r="L68" s="53">
        <f t="shared" si="11"/>
        <v>13.11</v>
      </c>
      <c r="M68">
        <f t="shared" si="12"/>
        <v>74.150000000000006</v>
      </c>
      <c r="N68">
        <v>7</v>
      </c>
      <c r="O68">
        <f t="shared" si="13"/>
        <v>9</v>
      </c>
      <c r="P68" s="53">
        <f t="shared" si="14"/>
        <v>972.10649999999998</v>
      </c>
      <c r="Q68" s="53">
        <f t="shared" si="15"/>
        <v>1.6666666666666665</v>
      </c>
      <c r="R68" s="53">
        <f t="shared" si="16"/>
        <v>2.6666666666666665</v>
      </c>
    </row>
    <row r="69" spans="1:32" x14ac:dyDescent="0.25">
      <c r="A69" t="s">
        <v>1</v>
      </c>
      <c r="B69">
        <v>68.5</v>
      </c>
      <c r="C69">
        <v>95.5</v>
      </c>
      <c r="D69">
        <v>71.44</v>
      </c>
      <c r="E69">
        <v>93.5</v>
      </c>
      <c r="F69">
        <v>2022</v>
      </c>
      <c r="G69">
        <v>2023</v>
      </c>
      <c r="H69">
        <f t="shared" si="7"/>
        <v>82</v>
      </c>
      <c r="I69" s="53">
        <f t="shared" si="8"/>
        <v>82.47</v>
      </c>
      <c r="J69">
        <f t="shared" si="9"/>
        <v>27</v>
      </c>
      <c r="K69">
        <f t="shared" si="10"/>
        <v>22.060000000000002</v>
      </c>
      <c r="L69" s="53">
        <f t="shared" si="11"/>
        <v>17.53</v>
      </c>
      <c r="M69">
        <f t="shared" si="12"/>
        <v>82</v>
      </c>
      <c r="N69">
        <v>4</v>
      </c>
      <c r="O69">
        <f t="shared" si="13"/>
        <v>6</v>
      </c>
      <c r="P69" s="53">
        <f t="shared" si="14"/>
        <v>1437.46</v>
      </c>
      <c r="Q69" s="53">
        <f t="shared" si="15"/>
        <v>3.6666666666666665</v>
      </c>
      <c r="R69" s="53">
        <f t="shared" si="16"/>
        <v>2.6666666666666665</v>
      </c>
    </row>
    <row r="70" spans="1:32" x14ac:dyDescent="0.25">
      <c r="A70" t="s">
        <v>2</v>
      </c>
      <c r="B70">
        <v>96</v>
      </c>
      <c r="C70">
        <v>100</v>
      </c>
      <c r="D70">
        <v>82.11</v>
      </c>
      <c r="E70">
        <v>94.89</v>
      </c>
      <c r="F70">
        <v>2025</v>
      </c>
      <c r="G70">
        <v>2023</v>
      </c>
      <c r="H70">
        <f t="shared" si="7"/>
        <v>98</v>
      </c>
      <c r="I70" s="53">
        <f t="shared" si="8"/>
        <v>88.5</v>
      </c>
      <c r="J70">
        <f t="shared" si="9"/>
        <v>4</v>
      </c>
      <c r="K70">
        <f t="shared" si="10"/>
        <v>12.780000000000001</v>
      </c>
      <c r="L70" s="53">
        <f t="shared" si="11"/>
        <v>11.5</v>
      </c>
      <c r="M70">
        <f t="shared" si="12"/>
        <v>98</v>
      </c>
      <c r="N70">
        <v>10</v>
      </c>
      <c r="O70">
        <f t="shared" si="13"/>
        <v>1</v>
      </c>
      <c r="P70" s="53">
        <f t="shared" si="14"/>
        <v>1127</v>
      </c>
      <c r="Q70" s="53">
        <f t="shared" si="15"/>
        <v>0.66666666666666663</v>
      </c>
      <c r="R70" s="53">
        <f t="shared" si="16"/>
        <v>2.6666666666666665</v>
      </c>
    </row>
    <row r="71" spans="1:32" x14ac:dyDescent="0.25">
      <c r="A71" t="s">
        <v>3</v>
      </c>
      <c r="B71">
        <v>59</v>
      </c>
      <c r="C71">
        <v>91</v>
      </c>
      <c r="D71">
        <v>80.28</v>
      </c>
      <c r="E71">
        <v>95.56</v>
      </c>
      <c r="F71">
        <v>2025</v>
      </c>
      <c r="G71">
        <v>2023</v>
      </c>
      <c r="H71">
        <f t="shared" si="7"/>
        <v>75</v>
      </c>
      <c r="I71" s="53">
        <f t="shared" si="8"/>
        <v>87.92</v>
      </c>
      <c r="J71">
        <f t="shared" si="9"/>
        <v>32</v>
      </c>
      <c r="K71">
        <f t="shared" si="10"/>
        <v>15.280000000000001</v>
      </c>
      <c r="L71" s="53">
        <f t="shared" si="11"/>
        <v>12.079999999999998</v>
      </c>
      <c r="M71">
        <f t="shared" si="12"/>
        <v>75</v>
      </c>
      <c r="N71">
        <v>9</v>
      </c>
      <c r="O71">
        <f t="shared" si="13"/>
        <v>8</v>
      </c>
      <c r="P71" s="53">
        <f t="shared" si="14"/>
        <v>905.99999999999989</v>
      </c>
      <c r="Q71" s="53">
        <f t="shared" si="15"/>
        <v>0.66666666666666663</v>
      </c>
      <c r="R71" s="53">
        <f t="shared" si="16"/>
        <v>2.6666666666666665</v>
      </c>
    </row>
    <row r="72" spans="1:32" x14ac:dyDescent="0.25">
      <c r="A72" t="s">
        <v>4</v>
      </c>
      <c r="B72">
        <v>79</v>
      </c>
      <c r="C72">
        <v>100</v>
      </c>
      <c r="D72">
        <v>67.22</v>
      </c>
      <c r="E72">
        <v>93.78</v>
      </c>
      <c r="F72">
        <v>2025</v>
      </c>
      <c r="G72">
        <v>2023</v>
      </c>
      <c r="H72">
        <f t="shared" si="7"/>
        <v>89.5</v>
      </c>
      <c r="I72" s="53">
        <f t="shared" si="8"/>
        <v>80.5</v>
      </c>
      <c r="J72">
        <f t="shared" si="9"/>
        <v>21</v>
      </c>
      <c r="K72">
        <f t="shared" si="10"/>
        <v>26.560000000000002</v>
      </c>
      <c r="L72" s="53">
        <f t="shared" si="11"/>
        <v>19.5</v>
      </c>
      <c r="M72">
        <f t="shared" si="12"/>
        <v>89.5</v>
      </c>
      <c r="N72">
        <v>2</v>
      </c>
      <c r="O72">
        <f t="shared" si="13"/>
        <v>4</v>
      </c>
      <c r="P72" s="53">
        <f t="shared" si="14"/>
        <v>1745.25</v>
      </c>
      <c r="Q72" s="53">
        <f t="shared" si="15"/>
        <v>0.66666666666666663</v>
      </c>
      <c r="R72" s="53">
        <f t="shared" si="16"/>
        <v>2.6666666666666665</v>
      </c>
    </row>
    <row r="73" spans="1:32" x14ac:dyDescent="0.25">
      <c r="A73" t="s">
        <v>5</v>
      </c>
      <c r="B73">
        <v>93</v>
      </c>
      <c r="C73">
        <v>99</v>
      </c>
      <c r="D73">
        <v>73.33</v>
      </c>
      <c r="E73">
        <v>92.67</v>
      </c>
      <c r="F73">
        <v>2025</v>
      </c>
      <c r="G73">
        <v>2023</v>
      </c>
      <c r="H73">
        <f t="shared" si="7"/>
        <v>96</v>
      </c>
      <c r="I73" s="53">
        <f t="shared" si="8"/>
        <v>83</v>
      </c>
      <c r="J73">
        <f t="shared" si="9"/>
        <v>6</v>
      </c>
      <c r="K73">
        <f t="shared" si="10"/>
        <v>19.340000000000003</v>
      </c>
      <c r="L73" s="53">
        <f t="shared" si="11"/>
        <v>17</v>
      </c>
      <c r="M73">
        <f t="shared" si="12"/>
        <v>96</v>
      </c>
      <c r="N73">
        <v>5</v>
      </c>
      <c r="O73">
        <f t="shared" si="13"/>
        <v>2</v>
      </c>
      <c r="P73" s="53">
        <f t="shared" si="14"/>
        <v>1632</v>
      </c>
      <c r="Q73" s="53">
        <f t="shared" si="15"/>
        <v>0.66666666666666663</v>
      </c>
      <c r="R73" s="53">
        <f t="shared" si="16"/>
        <v>2.6666666666666665</v>
      </c>
    </row>
    <row r="74" spans="1:32" x14ac:dyDescent="0.25">
      <c r="A74" t="s">
        <v>6</v>
      </c>
      <c r="B74">
        <v>0</v>
      </c>
      <c r="C74">
        <v>90</v>
      </c>
      <c r="D74">
        <v>80.67</v>
      </c>
      <c r="E74">
        <v>93.89</v>
      </c>
      <c r="F74">
        <v>2025</v>
      </c>
      <c r="G74">
        <v>2023</v>
      </c>
      <c r="H74">
        <f t="shared" si="7"/>
        <v>45</v>
      </c>
      <c r="I74" s="53">
        <f t="shared" si="8"/>
        <v>87.28</v>
      </c>
      <c r="J74">
        <f t="shared" si="9"/>
        <v>90</v>
      </c>
      <c r="K74">
        <f t="shared" si="10"/>
        <v>13.219999999999999</v>
      </c>
      <c r="L74" s="53">
        <f t="shared" si="11"/>
        <v>12.719999999999999</v>
      </c>
      <c r="M74">
        <f t="shared" si="12"/>
        <v>45</v>
      </c>
      <c r="N74">
        <v>8</v>
      </c>
      <c r="O74">
        <f t="shared" si="13"/>
        <v>10</v>
      </c>
      <c r="P74" s="53">
        <f t="shared" si="14"/>
        <v>572.4</v>
      </c>
      <c r="Q74" s="53">
        <f t="shared" si="15"/>
        <v>0.66666666666666663</v>
      </c>
      <c r="R74" s="53">
        <f t="shared" si="16"/>
        <v>2.6666666666666665</v>
      </c>
    </row>
    <row r="78" spans="1:32" x14ac:dyDescent="0.25">
      <c r="B78" s="155" t="s">
        <v>158</v>
      </c>
      <c r="C78" s="155"/>
      <c r="D78" s="155"/>
      <c r="E78" s="155"/>
      <c r="I78" s="155" t="s">
        <v>159</v>
      </c>
      <c r="J78" s="155"/>
      <c r="K78" s="155"/>
      <c r="O78" s="155" t="s">
        <v>160</v>
      </c>
      <c r="P78" s="155"/>
      <c r="Q78" s="155"/>
      <c r="R78" s="155"/>
      <c r="U78" s="155" t="s">
        <v>161</v>
      </c>
      <c r="V78" s="155"/>
      <c r="W78" s="155"/>
      <c r="X78" s="155"/>
      <c r="Y78" s="155"/>
      <c r="Z78" s="155"/>
      <c r="AB78" s="155" t="s">
        <v>162</v>
      </c>
      <c r="AC78" s="155"/>
      <c r="AD78" s="155"/>
      <c r="AE78" s="155"/>
      <c r="AF78" s="155"/>
    </row>
    <row r="79" spans="1:32" x14ac:dyDescent="0.25">
      <c r="B79" t="s">
        <v>7</v>
      </c>
      <c r="C79" t="s">
        <v>163</v>
      </c>
      <c r="D79" t="s">
        <v>164</v>
      </c>
      <c r="E79" t="s">
        <v>165</v>
      </c>
      <c r="I79" t="s">
        <v>7</v>
      </c>
      <c r="J79" t="s">
        <v>166</v>
      </c>
      <c r="K79" t="s">
        <v>167</v>
      </c>
      <c r="O79" t="s">
        <v>7</v>
      </c>
      <c r="P79" t="s">
        <v>168</v>
      </c>
      <c r="Q79" t="s">
        <v>166</v>
      </c>
      <c r="R79" t="s">
        <v>163</v>
      </c>
      <c r="V79" t="s">
        <v>7</v>
      </c>
      <c r="W79" t="s">
        <v>167</v>
      </c>
      <c r="X79" t="s">
        <v>169</v>
      </c>
      <c r="Y79" t="s">
        <v>170</v>
      </c>
      <c r="AC79" t="s">
        <v>7</v>
      </c>
      <c r="AD79" t="s">
        <v>165</v>
      </c>
      <c r="AE79" t="s">
        <v>171</v>
      </c>
      <c r="AF79" t="s">
        <v>172</v>
      </c>
    </row>
    <row r="80" spans="1:32" x14ac:dyDescent="0.25">
      <c r="A80">
        <v>1</v>
      </c>
      <c r="B80" t="s">
        <v>30</v>
      </c>
      <c r="C80">
        <v>24.17</v>
      </c>
      <c r="D80">
        <v>75.83</v>
      </c>
      <c r="E80">
        <v>27.78</v>
      </c>
      <c r="H80">
        <v>5</v>
      </c>
      <c r="I80" t="s">
        <v>2</v>
      </c>
      <c r="J80">
        <v>98</v>
      </c>
      <c r="K80">
        <v>4</v>
      </c>
      <c r="N80">
        <v>1</v>
      </c>
      <c r="O80" t="s">
        <v>30</v>
      </c>
      <c r="P80">
        <v>2126.96</v>
      </c>
      <c r="Q80">
        <v>88</v>
      </c>
      <c r="R80">
        <v>24.17</v>
      </c>
      <c r="U80">
        <v>9</v>
      </c>
      <c r="V80" t="s">
        <v>6</v>
      </c>
      <c r="W80">
        <v>90</v>
      </c>
      <c r="X80">
        <v>0</v>
      </c>
      <c r="Y80">
        <v>90</v>
      </c>
      <c r="AB80">
        <v>1</v>
      </c>
      <c r="AC80" t="s">
        <v>30</v>
      </c>
      <c r="AD80">
        <v>27.78</v>
      </c>
      <c r="AE80">
        <v>61.94</v>
      </c>
      <c r="AF80">
        <v>89.72</v>
      </c>
    </row>
    <row r="81" spans="1:32" x14ac:dyDescent="0.25">
      <c r="A81">
        <v>7</v>
      </c>
      <c r="B81" t="s">
        <v>4</v>
      </c>
      <c r="C81">
        <v>19.5</v>
      </c>
      <c r="D81">
        <v>80.5</v>
      </c>
      <c r="E81">
        <v>26.56</v>
      </c>
      <c r="H81">
        <v>8</v>
      </c>
      <c r="I81" t="s">
        <v>5</v>
      </c>
      <c r="J81">
        <v>96</v>
      </c>
      <c r="K81">
        <v>6</v>
      </c>
      <c r="N81">
        <v>7</v>
      </c>
      <c r="O81" t="s">
        <v>4</v>
      </c>
      <c r="P81">
        <v>1745.25</v>
      </c>
      <c r="Q81">
        <v>89.5</v>
      </c>
      <c r="R81">
        <v>19.5</v>
      </c>
      <c r="U81">
        <v>3</v>
      </c>
      <c r="V81" t="s">
        <v>117</v>
      </c>
      <c r="W81">
        <v>48.3</v>
      </c>
      <c r="X81">
        <v>50</v>
      </c>
      <c r="Y81">
        <v>98.3</v>
      </c>
      <c r="AB81">
        <v>7</v>
      </c>
      <c r="AC81" t="s">
        <v>4</v>
      </c>
      <c r="AD81">
        <v>26.56</v>
      </c>
      <c r="AE81">
        <v>67.22</v>
      </c>
      <c r="AF81">
        <v>93.78</v>
      </c>
    </row>
    <row r="82" spans="1:32" x14ac:dyDescent="0.25">
      <c r="A82">
        <v>0</v>
      </c>
      <c r="B82" t="s">
        <v>25</v>
      </c>
      <c r="C82">
        <v>18.34</v>
      </c>
      <c r="D82">
        <v>81.66</v>
      </c>
      <c r="E82">
        <v>18.329999999999998</v>
      </c>
      <c r="H82">
        <v>0</v>
      </c>
      <c r="I82" t="s">
        <v>25</v>
      </c>
      <c r="J82">
        <v>93.6</v>
      </c>
      <c r="K82">
        <v>9</v>
      </c>
      <c r="N82">
        <v>0</v>
      </c>
      <c r="O82" t="s">
        <v>25</v>
      </c>
      <c r="P82">
        <v>1716.16</v>
      </c>
      <c r="Q82">
        <v>93.6</v>
      </c>
      <c r="R82">
        <v>18.34</v>
      </c>
      <c r="U82">
        <v>6</v>
      </c>
      <c r="V82" t="s">
        <v>3</v>
      </c>
      <c r="W82">
        <v>32</v>
      </c>
      <c r="X82">
        <v>59</v>
      </c>
      <c r="Y82">
        <v>91</v>
      </c>
      <c r="AB82">
        <v>4</v>
      </c>
      <c r="AC82" t="s">
        <v>1</v>
      </c>
      <c r="AD82">
        <v>22.06</v>
      </c>
      <c r="AE82">
        <v>71.44</v>
      </c>
      <c r="AF82">
        <v>93.5</v>
      </c>
    </row>
    <row r="83" spans="1:32" x14ac:dyDescent="0.25">
      <c r="A83">
        <v>4</v>
      </c>
      <c r="B83" t="s">
        <v>1</v>
      </c>
      <c r="C83">
        <v>17.53</v>
      </c>
      <c r="D83">
        <v>82.47</v>
      </c>
      <c r="E83">
        <v>22.06</v>
      </c>
      <c r="H83">
        <v>7</v>
      </c>
      <c r="I83" t="s">
        <v>4</v>
      </c>
      <c r="J83">
        <v>89.5</v>
      </c>
      <c r="K83">
        <v>21</v>
      </c>
      <c r="N83">
        <v>8</v>
      </c>
      <c r="O83" t="s">
        <v>5</v>
      </c>
      <c r="P83">
        <v>1632</v>
      </c>
      <c r="Q83">
        <v>96</v>
      </c>
      <c r="R83">
        <v>17</v>
      </c>
      <c r="U83">
        <v>4</v>
      </c>
      <c r="V83" t="s">
        <v>1</v>
      </c>
      <c r="W83">
        <v>27</v>
      </c>
      <c r="X83">
        <v>68.5</v>
      </c>
      <c r="Y83">
        <v>95.5</v>
      </c>
      <c r="AB83">
        <v>2</v>
      </c>
      <c r="AC83" t="s">
        <v>0</v>
      </c>
      <c r="AD83">
        <v>20.83</v>
      </c>
      <c r="AE83">
        <v>73.06</v>
      </c>
      <c r="AF83">
        <v>93.89</v>
      </c>
    </row>
    <row r="84" spans="1:32" x14ac:dyDescent="0.25">
      <c r="A84">
        <v>8</v>
      </c>
      <c r="B84" t="s">
        <v>5</v>
      </c>
      <c r="C84">
        <v>17</v>
      </c>
      <c r="D84">
        <v>83</v>
      </c>
      <c r="E84">
        <v>19.34</v>
      </c>
      <c r="H84">
        <v>1</v>
      </c>
      <c r="I84" t="s">
        <v>30</v>
      </c>
      <c r="J84">
        <v>88</v>
      </c>
      <c r="K84">
        <v>24</v>
      </c>
      <c r="N84">
        <v>4</v>
      </c>
      <c r="O84" t="s">
        <v>1</v>
      </c>
      <c r="P84">
        <v>1437.46</v>
      </c>
      <c r="Q84">
        <v>82</v>
      </c>
      <c r="R84">
        <v>17.53</v>
      </c>
      <c r="U84">
        <v>2</v>
      </c>
      <c r="V84" t="s">
        <v>0</v>
      </c>
      <c r="W84">
        <v>25.7</v>
      </c>
      <c r="X84">
        <v>67</v>
      </c>
      <c r="Y84">
        <v>92.7</v>
      </c>
      <c r="AB84">
        <v>8</v>
      </c>
      <c r="AC84" t="s">
        <v>5</v>
      </c>
      <c r="AD84">
        <v>19.34</v>
      </c>
      <c r="AE84">
        <v>73.33</v>
      </c>
      <c r="AF84">
        <v>92.67</v>
      </c>
    </row>
    <row r="85" spans="1:32" x14ac:dyDescent="0.25">
      <c r="A85">
        <v>2</v>
      </c>
      <c r="B85" t="s">
        <v>0</v>
      </c>
      <c r="C85">
        <v>16.53</v>
      </c>
      <c r="D85">
        <v>83.48</v>
      </c>
      <c r="E85">
        <v>20.83</v>
      </c>
      <c r="H85">
        <v>4</v>
      </c>
      <c r="I85" t="s">
        <v>1</v>
      </c>
      <c r="J85">
        <v>82</v>
      </c>
      <c r="K85">
        <v>27</v>
      </c>
      <c r="N85">
        <v>2</v>
      </c>
      <c r="O85" t="s">
        <v>0</v>
      </c>
      <c r="P85">
        <v>1319.52</v>
      </c>
      <c r="Q85">
        <v>79.849999999999994</v>
      </c>
      <c r="R85">
        <v>16.53</v>
      </c>
      <c r="U85">
        <v>1</v>
      </c>
      <c r="V85" t="s">
        <v>30</v>
      </c>
      <c r="W85">
        <v>24</v>
      </c>
      <c r="X85">
        <v>76</v>
      </c>
      <c r="Y85">
        <v>100</v>
      </c>
      <c r="AB85">
        <v>0</v>
      </c>
      <c r="AC85" t="s">
        <v>25</v>
      </c>
      <c r="AD85">
        <v>18.329999999999998</v>
      </c>
      <c r="AE85">
        <v>72.5</v>
      </c>
      <c r="AF85">
        <v>90.83</v>
      </c>
    </row>
    <row r="86" spans="1:32" x14ac:dyDescent="0.25">
      <c r="A86">
        <v>3</v>
      </c>
      <c r="B86" t="s">
        <v>117</v>
      </c>
      <c r="C86">
        <v>13.11</v>
      </c>
      <c r="D86">
        <v>86.89</v>
      </c>
      <c r="E86">
        <v>16.78</v>
      </c>
      <c r="H86">
        <v>2</v>
      </c>
      <c r="I86" t="s">
        <v>0</v>
      </c>
      <c r="J86">
        <v>79.849999999999994</v>
      </c>
      <c r="K86">
        <v>25.7</v>
      </c>
      <c r="N86">
        <v>5</v>
      </c>
      <c r="O86" t="s">
        <v>2</v>
      </c>
      <c r="P86">
        <v>1127</v>
      </c>
      <c r="Q86">
        <v>98</v>
      </c>
      <c r="R86">
        <v>11.5</v>
      </c>
      <c r="U86">
        <v>7</v>
      </c>
      <c r="V86" t="s">
        <v>4</v>
      </c>
      <c r="W86">
        <v>21</v>
      </c>
      <c r="X86">
        <v>79</v>
      </c>
      <c r="Y86">
        <v>100</v>
      </c>
      <c r="AB86">
        <v>3</v>
      </c>
      <c r="AC86" t="s">
        <v>117</v>
      </c>
      <c r="AD86">
        <v>16.78</v>
      </c>
      <c r="AE86">
        <v>78.5</v>
      </c>
      <c r="AF86">
        <v>95.28</v>
      </c>
    </row>
    <row r="87" spans="1:32" x14ac:dyDescent="0.25">
      <c r="A87">
        <v>9</v>
      </c>
      <c r="B87" t="s">
        <v>6</v>
      </c>
      <c r="C87">
        <v>12.72</v>
      </c>
      <c r="D87">
        <v>87.28</v>
      </c>
      <c r="E87">
        <v>13.22</v>
      </c>
      <c r="H87">
        <v>6</v>
      </c>
      <c r="I87" t="s">
        <v>3</v>
      </c>
      <c r="J87">
        <v>75</v>
      </c>
      <c r="K87">
        <v>32</v>
      </c>
      <c r="N87">
        <v>3</v>
      </c>
      <c r="O87" t="s">
        <v>117</v>
      </c>
      <c r="P87">
        <v>972.11</v>
      </c>
      <c r="Q87">
        <v>74.150000000000006</v>
      </c>
      <c r="R87">
        <v>13.11</v>
      </c>
      <c r="U87">
        <v>0</v>
      </c>
      <c r="V87" t="s">
        <v>25</v>
      </c>
      <c r="W87">
        <v>9</v>
      </c>
      <c r="X87">
        <v>89.1</v>
      </c>
      <c r="Y87">
        <v>98.1</v>
      </c>
      <c r="AB87">
        <v>6</v>
      </c>
      <c r="AC87" t="s">
        <v>3</v>
      </c>
      <c r="AD87">
        <v>15.28</v>
      </c>
      <c r="AE87">
        <v>80.28</v>
      </c>
      <c r="AF87">
        <v>95.56</v>
      </c>
    </row>
    <row r="88" spans="1:32" x14ac:dyDescent="0.25">
      <c r="A88">
        <v>6</v>
      </c>
      <c r="B88" t="s">
        <v>3</v>
      </c>
      <c r="C88">
        <v>12.08</v>
      </c>
      <c r="D88">
        <v>87.92</v>
      </c>
      <c r="E88">
        <v>15.28</v>
      </c>
      <c r="H88">
        <v>3</v>
      </c>
      <c r="I88" t="s">
        <v>117</v>
      </c>
      <c r="J88">
        <v>74.150000000000006</v>
      </c>
      <c r="K88">
        <v>48.3</v>
      </c>
      <c r="N88">
        <v>6</v>
      </c>
      <c r="O88" t="s">
        <v>3</v>
      </c>
      <c r="P88">
        <v>906</v>
      </c>
      <c r="Q88">
        <v>75</v>
      </c>
      <c r="R88">
        <v>12.08</v>
      </c>
      <c r="U88">
        <v>8</v>
      </c>
      <c r="V88" t="s">
        <v>5</v>
      </c>
      <c r="W88">
        <v>6</v>
      </c>
      <c r="X88">
        <v>93</v>
      </c>
      <c r="Y88">
        <v>99</v>
      </c>
      <c r="AB88">
        <v>9</v>
      </c>
      <c r="AC88" t="s">
        <v>6</v>
      </c>
      <c r="AD88">
        <v>13.22</v>
      </c>
      <c r="AE88">
        <v>80.67</v>
      </c>
      <c r="AF88">
        <v>93.89</v>
      </c>
    </row>
    <row r="89" spans="1:32" x14ac:dyDescent="0.25">
      <c r="A89">
        <v>5</v>
      </c>
      <c r="B89" t="s">
        <v>2</v>
      </c>
      <c r="C89">
        <v>11.5</v>
      </c>
      <c r="D89">
        <v>88.5</v>
      </c>
      <c r="E89">
        <v>12.78</v>
      </c>
      <c r="H89">
        <v>9</v>
      </c>
      <c r="I89" t="s">
        <v>6</v>
      </c>
      <c r="J89">
        <v>45</v>
      </c>
      <c r="K89">
        <v>90</v>
      </c>
      <c r="N89">
        <v>9</v>
      </c>
      <c r="O89" t="s">
        <v>6</v>
      </c>
      <c r="P89">
        <v>572.4</v>
      </c>
      <c r="Q89">
        <v>45</v>
      </c>
      <c r="R89">
        <v>12.72</v>
      </c>
      <c r="U89">
        <v>5</v>
      </c>
      <c r="V89" t="s">
        <v>2</v>
      </c>
      <c r="W89">
        <v>4</v>
      </c>
      <c r="X89">
        <v>96</v>
      </c>
      <c r="Y89">
        <v>100</v>
      </c>
      <c r="AB89">
        <v>5</v>
      </c>
      <c r="AC89" t="s">
        <v>2</v>
      </c>
      <c r="AD89">
        <v>12.78</v>
      </c>
      <c r="AE89">
        <v>82.11</v>
      </c>
      <c r="AF89">
        <v>94.89</v>
      </c>
    </row>
    <row r="95" spans="1:32" x14ac:dyDescent="0.25">
      <c r="B95" s="155"/>
      <c r="C95" s="155"/>
      <c r="D95" s="155"/>
      <c r="E95" s="155"/>
      <c r="F95" s="155"/>
      <c r="G95" s="155"/>
      <c r="H95" s="155"/>
      <c r="I95" s="155"/>
    </row>
    <row r="96" spans="1:32" x14ac:dyDescent="0.25">
      <c r="B96" s="65"/>
    </row>
    <row r="100" spans="2:5" ht="20.25" customHeight="1" x14ac:dyDescent="0.25">
      <c r="B100" s="10"/>
    </row>
    <row r="106" spans="2:5" x14ac:dyDescent="0.25">
      <c r="B106" s="66"/>
      <c r="C106" s="66"/>
      <c r="D106" s="66"/>
      <c r="E106" s="66"/>
    </row>
    <row r="107" spans="2:5" x14ac:dyDescent="0.25">
      <c r="B107" s="37"/>
      <c r="C107" s="67"/>
      <c r="D107" s="37"/>
      <c r="E107" s="67"/>
    </row>
    <row r="108" spans="2:5" x14ac:dyDescent="0.25">
      <c r="B108" s="37"/>
      <c r="C108" s="37"/>
      <c r="D108" s="37"/>
      <c r="E108" s="67"/>
    </row>
    <row r="109" spans="2:5" x14ac:dyDescent="0.25">
      <c r="B109" s="37"/>
      <c r="C109" s="67"/>
      <c r="D109" s="37"/>
      <c r="E109" s="37"/>
    </row>
    <row r="110" spans="2:5" x14ac:dyDescent="0.25">
      <c r="B110" s="37"/>
      <c r="C110" s="67"/>
      <c r="D110" s="37"/>
      <c r="E110" s="67"/>
    </row>
  </sheetData>
  <mergeCells count="38">
    <mergeCell ref="AB78:AF78"/>
    <mergeCell ref="B95:I95"/>
    <mergeCell ref="R36:W36"/>
    <mergeCell ref="B78:E78"/>
    <mergeCell ref="I78:K78"/>
    <mergeCell ref="O78:R78"/>
    <mergeCell ref="U78:Z78"/>
    <mergeCell ref="I51:M51"/>
    <mergeCell ref="N49:O49"/>
    <mergeCell ref="N46:O46"/>
    <mergeCell ref="N47:O47"/>
    <mergeCell ref="N48:O48"/>
    <mergeCell ref="I46:M46"/>
    <mergeCell ref="I47:M47"/>
    <mergeCell ref="I48:M48"/>
    <mergeCell ref="I49:M49"/>
    <mergeCell ref="D30:E30"/>
    <mergeCell ref="C30:C31"/>
    <mergeCell ref="F30:G30"/>
    <mergeCell ref="D12:E12"/>
    <mergeCell ref="F12:G12"/>
    <mergeCell ref="D11:W11"/>
    <mergeCell ref="P12:Q12"/>
    <mergeCell ref="R12:S12"/>
    <mergeCell ref="T12:U12"/>
    <mergeCell ref="V12:W12"/>
    <mergeCell ref="H12:I12"/>
    <mergeCell ref="J12:K12"/>
    <mergeCell ref="L12:M12"/>
    <mergeCell ref="N12:O12"/>
    <mergeCell ref="U56:Y66"/>
    <mergeCell ref="I50:M50"/>
    <mergeCell ref="I57:M57"/>
    <mergeCell ref="I52:M52"/>
    <mergeCell ref="I53:M53"/>
    <mergeCell ref="I54:M54"/>
    <mergeCell ref="I55:M55"/>
    <mergeCell ref="I56:M56"/>
  </mergeCells>
  <phoneticPr fontId="11" type="noConversion"/>
  <pageMargins left="0.7" right="0.7" top="0.75" bottom="0.75" header="0.3" footer="0.3"/>
  <pageSetup paperSize="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73093-AF80-49E3-BF9E-D2BBBDEEDBB0}">
  <sheetPr>
    <pageSetUpPr fitToPage="1"/>
  </sheetPr>
  <dimension ref="A1:AL191"/>
  <sheetViews>
    <sheetView topLeftCell="A126" zoomScale="85" zoomScaleNormal="85" workbookViewId="0">
      <selection activeCell="L150" sqref="L150:O150"/>
    </sheetView>
  </sheetViews>
  <sheetFormatPr defaultRowHeight="15" x14ac:dyDescent="0.25"/>
  <cols>
    <col min="1" max="1" width="30.7109375" customWidth="1"/>
    <col min="2" max="2" width="22.5703125" customWidth="1"/>
    <col min="3" max="3" width="52" customWidth="1"/>
    <col min="4" max="4" width="15.42578125" bestFit="1" customWidth="1"/>
    <col min="5" max="5" width="17" bestFit="1" customWidth="1"/>
    <col min="6" max="6" width="15.7109375" bestFit="1" customWidth="1"/>
    <col min="7" max="7" width="10.85546875" bestFit="1" customWidth="1"/>
    <col min="8" max="8" width="13.7109375" bestFit="1" customWidth="1"/>
    <col min="9" max="9" width="14.7109375" bestFit="1" customWidth="1"/>
    <col min="10" max="10" width="19" bestFit="1" customWidth="1"/>
    <col min="11" max="11" width="21.5703125" customWidth="1"/>
    <col min="12" max="12" width="22.42578125" bestFit="1" customWidth="1"/>
    <col min="13" max="13" width="6" style="54" bestFit="1" customWidth="1"/>
    <col min="14" max="14" width="14.140625" bestFit="1" customWidth="1"/>
  </cols>
  <sheetData>
    <row r="1" spans="1:14" ht="15.75" x14ac:dyDescent="0.25">
      <c r="A1" s="72" t="s">
        <v>123</v>
      </c>
      <c r="B1" s="72"/>
      <c r="C1" s="72" t="s">
        <v>25</v>
      </c>
      <c r="D1" s="72" t="s">
        <v>30</v>
      </c>
      <c r="E1" s="72" t="s">
        <v>0</v>
      </c>
      <c r="F1" s="72" t="s">
        <v>117</v>
      </c>
      <c r="G1" s="72" t="s">
        <v>1</v>
      </c>
      <c r="H1" s="72" t="s">
        <v>2</v>
      </c>
      <c r="I1" s="72" t="s">
        <v>193</v>
      </c>
      <c r="J1" s="72" t="s">
        <v>4</v>
      </c>
      <c r="K1" s="72" t="s">
        <v>5</v>
      </c>
      <c r="L1" s="72" t="s">
        <v>6</v>
      </c>
      <c r="M1" s="72" t="s">
        <v>194</v>
      </c>
      <c r="N1" s="72"/>
    </row>
    <row r="2" spans="1:14" x14ac:dyDescent="0.25">
      <c r="A2" s="69" t="s">
        <v>118</v>
      </c>
      <c r="B2" s="69" t="s">
        <v>195</v>
      </c>
      <c r="C2" s="69">
        <v>20</v>
      </c>
      <c r="D2" s="69">
        <v>12</v>
      </c>
      <c r="E2" s="69">
        <v>12</v>
      </c>
      <c r="F2" s="69">
        <v>20</v>
      </c>
      <c r="G2" s="69">
        <v>20</v>
      </c>
      <c r="H2" s="69">
        <v>15</v>
      </c>
      <c r="I2" s="69">
        <v>10</v>
      </c>
      <c r="J2" s="69">
        <v>10</v>
      </c>
      <c r="K2" s="69">
        <v>20</v>
      </c>
      <c r="L2" s="69">
        <v>12</v>
      </c>
      <c r="M2" s="73">
        <f>SUM(C2:L2)</f>
        <v>151</v>
      </c>
      <c r="N2" s="69" t="s">
        <v>195</v>
      </c>
    </row>
    <row r="3" spans="1:14" x14ac:dyDescent="0.25">
      <c r="A3" s="69" t="s">
        <v>118</v>
      </c>
      <c r="B3" s="69" t="s">
        <v>106</v>
      </c>
      <c r="C3" s="69">
        <v>1</v>
      </c>
      <c r="D3" s="69">
        <v>10</v>
      </c>
      <c r="E3" s="69"/>
      <c r="F3" s="69"/>
      <c r="G3" s="69"/>
      <c r="H3" s="69"/>
      <c r="I3" s="69"/>
      <c r="J3" s="69"/>
      <c r="K3" s="69"/>
      <c r="L3" s="69"/>
      <c r="M3" s="73">
        <f t="shared" ref="M3:M66" si="0">SUM(C3:L3)</f>
        <v>11</v>
      </c>
      <c r="N3" s="69" t="s">
        <v>106</v>
      </c>
    </row>
    <row r="4" spans="1:14" x14ac:dyDescent="0.25">
      <c r="A4" s="69" t="s">
        <v>118</v>
      </c>
      <c r="B4" s="69" t="s">
        <v>196</v>
      </c>
      <c r="C4" s="69">
        <v>1</v>
      </c>
      <c r="D4" s="69"/>
      <c r="E4" s="69"/>
      <c r="F4" s="69"/>
      <c r="G4" s="69"/>
      <c r="H4" s="69"/>
      <c r="I4" s="69"/>
      <c r="J4" s="69"/>
      <c r="K4" s="69"/>
      <c r="L4" s="69"/>
      <c r="M4" s="73">
        <f t="shared" si="0"/>
        <v>1</v>
      </c>
      <c r="N4" s="69" t="s">
        <v>196</v>
      </c>
    </row>
    <row r="5" spans="1:14" x14ac:dyDescent="0.25">
      <c r="A5" s="69" t="s">
        <v>118</v>
      </c>
      <c r="B5" s="69" t="s">
        <v>56</v>
      </c>
      <c r="C5" s="69"/>
      <c r="D5" s="69">
        <v>5</v>
      </c>
      <c r="E5" s="69">
        <v>1</v>
      </c>
      <c r="F5" s="69"/>
      <c r="G5" s="69">
        <v>3</v>
      </c>
      <c r="H5" s="69"/>
      <c r="I5" s="69"/>
      <c r="J5" s="69"/>
      <c r="K5" s="69">
        <v>6</v>
      </c>
      <c r="L5" s="69"/>
      <c r="M5" s="73">
        <f t="shared" si="0"/>
        <v>15</v>
      </c>
      <c r="N5" s="69" t="s">
        <v>56</v>
      </c>
    </row>
    <row r="6" spans="1:14" x14ac:dyDescent="0.25">
      <c r="A6" s="69" t="s">
        <v>118</v>
      </c>
      <c r="B6" s="69" t="s">
        <v>197</v>
      </c>
      <c r="C6" s="69"/>
      <c r="D6" s="69">
        <v>1</v>
      </c>
      <c r="E6" s="69"/>
      <c r="F6" s="69"/>
      <c r="G6" s="69"/>
      <c r="H6" s="69"/>
      <c r="I6" s="69"/>
      <c r="J6" s="69"/>
      <c r="K6" s="69"/>
      <c r="L6" s="69"/>
      <c r="M6" s="73">
        <f t="shared" si="0"/>
        <v>1</v>
      </c>
      <c r="N6" s="69" t="s">
        <v>197</v>
      </c>
    </row>
    <row r="7" spans="1:14" x14ac:dyDescent="0.25">
      <c r="A7" s="69" t="s">
        <v>118</v>
      </c>
      <c r="B7" s="69" t="s">
        <v>87</v>
      </c>
      <c r="C7" s="69"/>
      <c r="D7" s="69"/>
      <c r="E7" s="69"/>
      <c r="F7" s="69"/>
      <c r="G7" s="69"/>
      <c r="H7" s="69"/>
      <c r="I7" s="69">
        <v>9</v>
      </c>
      <c r="J7" s="69"/>
      <c r="K7" s="69">
        <v>8</v>
      </c>
      <c r="L7" s="69"/>
      <c r="M7" s="73">
        <f t="shared" si="0"/>
        <v>17</v>
      </c>
      <c r="N7" s="69" t="s">
        <v>87</v>
      </c>
    </row>
    <row r="8" spans="1:14" x14ac:dyDescent="0.25">
      <c r="A8" s="69" t="s">
        <v>118</v>
      </c>
      <c r="B8" s="69" t="s">
        <v>198</v>
      </c>
      <c r="C8" s="69"/>
      <c r="D8" s="69"/>
      <c r="E8" s="69"/>
      <c r="F8" s="69"/>
      <c r="G8" s="69"/>
      <c r="H8" s="69"/>
      <c r="I8" s="69"/>
      <c r="J8" s="69">
        <v>10</v>
      </c>
      <c r="K8" s="69"/>
      <c r="L8" s="69"/>
      <c r="M8" s="73">
        <f t="shared" si="0"/>
        <v>10</v>
      </c>
      <c r="N8" s="69" t="s">
        <v>198</v>
      </c>
    </row>
    <row r="9" spans="1:14" x14ac:dyDescent="0.25">
      <c r="A9" s="24" t="s">
        <v>119</v>
      </c>
      <c r="B9" s="24" t="s">
        <v>195</v>
      </c>
      <c r="C9" s="24">
        <v>11</v>
      </c>
      <c r="D9" s="24">
        <v>14</v>
      </c>
      <c r="E9" s="24">
        <v>11</v>
      </c>
      <c r="F9" s="24">
        <v>10</v>
      </c>
      <c r="G9" s="24">
        <v>15</v>
      </c>
      <c r="H9" s="24">
        <v>10</v>
      </c>
      <c r="I9" s="24"/>
      <c r="J9" s="24">
        <v>10</v>
      </c>
      <c r="K9" s="24">
        <v>15</v>
      </c>
      <c r="L9" s="24"/>
      <c r="M9" s="74">
        <f t="shared" si="0"/>
        <v>96</v>
      </c>
      <c r="N9" s="24" t="s">
        <v>195</v>
      </c>
    </row>
    <row r="10" spans="1:14" x14ac:dyDescent="0.25">
      <c r="A10" s="24" t="s">
        <v>119</v>
      </c>
      <c r="B10" s="24" t="s">
        <v>106</v>
      </c>
      <c r="C10" s="24">
        <v>2</v>
      </c>
      <c r="D10" s="24">
        <v>9</v>
      </c>
      <c r="E10" s="24"/>
      <c r="F10" s="24"/>
      <c r="G10" s="24">
        <v>2</v>
      </c>
      <c r="H10" s="24"/>
      <c r="I10" s="24"/>
      <c r="J10" s="24"/>
      <c r="K10" s="24"/>
      <c r="L10" s="24"/>
      <c r="M10" s="74">
        <f t="shared" si="0"/>
        <v>13</v>
      </c>
      <c r="N10" s="24" t="s">
        <v>106</v>
      </c>
    </row>
    <row r="11" spans="1:14" x14ac:dyDescent="0.25">
      <c r="A11" s="24" t="s">
        <v>119</v>
      </c>
      <c r="B11" s="24" t="s">
        <v>199</v>
      </c>
      <c r="C11" s="24"/>
      <c r="D11" s="24">
        <v>1</v>
      </c>
      <c r="E11" s="24"/>
      <c r="F11" s="24"/>
      <c r="G11" s="24"/>
      <c r="H11" s="24"/>
      <c r="I11" s="24"/>
      <c r="J11" s="24"/>
      <c r="K11" s="24"/>
      <c r="L11" s="24"/>
      <c r="M11" s="74">
        <f t="shared" si="0"/>
        <v>1</v>
      </c>
      <c r="N11" s="24" t="s">
        <v>199</v>
      </c>
    </row>
    <row r="12" spans="1:14" x14ac:dyDescent="0.25">
      <c r="A12" s="24" t="s">
        <v>119</v>
      </c>
      <c r="B12" s="24" t="s">
        <v>56</v>
      </c>
      <c r="C12" s="24">
        <v>4</v>
      </c>
      <c r="D12" s="24"/>
      <c r="E12" s="24">
        <v>2</v>
      </c>
      <c r="F12" s="24"/>
      <c r="G12" s="24">
        <v>3</v>
      </c>
      <c r="H12" s="24"/>
      <c r="I12" s="24"/>
      <c r="J12" s="24">
        <v>10</v>
      </c>
      <c r="K12" s="24">
        <v>5</v>
      </c>
      <c r="L12" s="24"/>
      <c r="M12" s="74">
        <f t="shared" si="0"/>
        <v>24</v>
      </c>
      <c r="N12" s="24" t="s">
        <v>56</v>
      </c>
    </row>
    <row r="13" spans="1:14" x14ac:dyDescent="0.25">
      <c r="A13" s="24" t="s">
        <v>119</v>
      </c>
      <c r="B13" s="24" t="s">
        <v>1</v>
      </c>
      <c r="C13" s="24"/>
      <c r="D13" s="24"/>
      <c r="E13" s="24">
        <v>1</v>
      </c>
      <c r="F13" s="24"/>
      <c r="G13" s="24"/>
      <c r="H13" s="24"/>
      <c r="I13" s="24"/>
      <c r="J13" s="24"/>
      <c r="K13" s="24"/>
      <c r="L13" s="24"/>
      <c r="M13" s="74">
        <f t="shared" si="0"/>
        <v>1</v>
      </c>
      <c r="N13" s="24" t="s">
        <v>1</v>
      </c>
    </row>
    <row r="14" spans="1:14" x14ac:dyDescent="0.25">
      <c r="A14" s="24" t="s">
        <v>119</v>
      </c>
      <c r="B14" s="24" t="s">
        <v>87</v>
      </c>
      <c r="C14" s="24"/>
      <c r="D14" s="24"/>
      <c r="E14" s="24"/>
      <c r="F14" s="24"/>
      <c r="G14" s="24"/>
      <c r="H14" s="24"/>
      <c r="I14" s="24">
        <v>4</v>
      </c>
      <c r="J14" s="24"/>
      <c r="K14" s="24">
        <v>5</v>
      </c>
      <c r="L14" s="24"/>
      <c r="M14" s="74">
        <f t="shared" si="0"/>
        <v>9</v>
      </c>
      <c r="N14" s="24" t="s">
        <v>87</v>
      </c>
    </row>
    <row r="15" spans="1:14" x14ac:dyDescent="0.25">
      <c r="A15" s="24" t="s">
        <v>119</v>
      </c>
      <c r="B15" s="24" t="s">
        <v>200</v>
      </c>
      <c r="C15" s="24"/>
      <c r="D15" s="24"/>
      <c r="E15" s="24"/>
      <c r="F15" s="24"/>
      <c r="G15" s="24"/>
      <c r="H15" s="24"/>
      <c r="I15" s="24">
        <v>3</v>
      </c>
      <c r="J15" s="24"/>
      <c r="K15" s="24"/>
      <c r="L15" s="24"/>
      <c r="M15" s="74">
        <f t="shared" si="0"/>
        <v>3</v>
      </c>
      <c r="N15" s="24" t="s">
        <v>200</v>
      </c>
    </row>
    <row r="16" spans="1:14" x14ac:dyDescent="0.25">
      <c r="A16" s="24" t="s">
        <v>119</v>
      </c>
      <c r="B16" s="24" t="s">
        <v>201</v>
      </c>
      <c r="C16" s="24"/>
      <c r="D16" s="24"/>
      <c r="E16" s="24"/>
      <c r="F16" s="24"/>
      <c r="G16" s="24"/>
      <c r="H16" s="24"/>
      <c r="I16" s="24">
        <v>5</v>
      </c>
      <c r="J16" s="24"/>
      <c r="K16" s="24"/>
      <c r="L16" s="24"/>
      <c r="M16" s="74">
        <f t="shared" si="0"/>
        <v>5</v>
      </c>
      <c r="N16" s="24" t="s">
        <v>201</v>
      </c>
    </row>
    <row r="17" spans="1:14" x14ac:dyDescent="0.25">
      <c r="A17" s="24" t="s">
        <v>119</v>
      </c>
      <c r="B17" s="24" t="s">
        <v>102</v>
      </c>
      <c r="C17" s="24"/>
      <c r="D17" s="24"/>
      <c r="E17" s="24"/>
      <c r="F17" s="24"/>
      <c r="G17" s="24"/>
      <c r="H17" s="24"/>
      <c r="I17" s="24">
        <v>4</v>
      </c>
      <c r="J17" s="24"/>
      <c r="K17" s="24"/>
      <c r="L17" s="24"/>
      <c r="M17" s="74">
        <f t="shared" si="0"/>
        <v>4</v>
      </c>
      <c r="N17" s="24" t="s">
        <v>102</v>
      </c>
    </row>
    <row r="18" spans="1:14" x14ac:dyDescent="0.25">
      <c r="A18" s="24" t="s">
        <v>119</v>
      </c>
      <c r="B18" s="24" t="s">
        <v>202</v>
      </c>
      <c r="C18" s="24"/>
      <c r="D18" s="24"/>
      <c r="E18" s="24"/>
      <c r="F18" s="24"/>
      <c r="G18" s="24"/>
      <c r="H18" s="24"/>
      <c r="I18" s="24">
        <v>2</v>
      </c>
      <c r="J18" s="24"/>
      <c r="K18" s="24"/>
      <c r="L18" s="24"/>
      <c r="M18" s="74">
        <f t="shared" si="0"/>
        <v>2</v>
      </c>
      <c r="N18" s="24" t="s">
        <v>202</v>
      </c>
    </row>
    <row r="19" spans="1:14" x14ac:dyDescent="0.25">
      <c r="A19" s="70" t="s">
        <v>122</v>
      </c>
      <c r="B19" s="70" t="s">
        <v>195</v>
      </c>
      <c r="C19" s="70">
        <v>20</v>
      </c>
      <c r="D19" s="70">
        <v>10</v>
      </c>
      <c r="E19" s="70">
        <v>10</v>
      </c>
      <c r="F19" s="70"/>
      <c r="G19" s="70">
        <v>10</v>
      </c>
      <c r="H19" s="70">
        <v>10</v>
      </c>
      <c r="I19" s="70"/>
      <c r="J19" s="70">
        <v>9</v>
      </c>
      <c r="K19" s="70">
        <v>20</v>
      </c>
      <c r="L19" s="70">
        <v>9</v>
      </c>
      <c r="M19" s="75">
        <f t="shared" si="0"/>
        <v>98</v>
      </c>
      <c r="N19" s="70" t="s">
        <v>195</v>
      </c>
    </row>
    <row r="20" spans="1:14" x14ac:dyDescent="0.25">
      <c r="A20" s="70" t="s">
        <v>122</v>
      </c>
      <c r="B20" s="70" t="s">
        <v>106</v>
      </c>
      <c r="C20" s="70"/>
      <c r="D20" s="70">
        <v>10</v>
      </c>
      <c r="E20" s="70">
        <v>1</v>
      </c>
      <c r="F20" s="70"/>
      <c r="G20" s="70"/>
      <c r="H20" s="70"/>
      <c r="I20" s="70"/>
      <c r="J20" s="70"/>
      <c r="K20" s="70">
        <v>18</v>
      </c>
      <c r="L20" s="70"/>
      <c r="M20" s="75">
        <f t="shared" si="0"/>
        <v>29</v>
      </c>
      <c r="N20" s="70" t="s">
        <v>106</v>
      </c>
    </row>
    <row r="21" spans="1:14" x14ac:dyDescent="0.25">
      <c r="A21" s="70" t="s">
        <v>122</v>
      </c>
      <c r="B21" s="70" t="s">
        <v>87</v>
      </c>
      <c r="C21" s="70"/>
      <c r="D21" s="70">
        <v>3</v>
      </c>
      <c r="E21" s="70"/>
      <c r="F21" s="70"/>
      <c r="G21" s="70"/>
      <c r="H21" s="70"/>
      <c r="I21" s="70"/>
      <c r="J21" s="70"/>
      <c r="K21" s="70">
        <v>9</v>
      </c>
      <c r="L21" s="70"/>
      <c r="M21" s="75">
        <f t="shared" si="0"/>
        <v>12</v>
      </c>
      <c r="N21" s="70" t="s">
        <v>87</v>
      </c>
    </row>
    <row r="22" spans="1:14" x14ac:dyDescent="0.25">
      <c r="A22" s="70" t="s">
        <v>122</v>
      </c>
      <c r="B22" s="70" t="s">
        <v>56</v>
      </c>
      <c r="C22" s="70"/>
      <c r="D22" s="70"/>
      <c r="E22" s="70">
        <v>4</v>
      </c>
      <c r="F22" s="70"/>
      <c r="G22" s="70">
        <v>11</v>
      </c>
      <c r="H22" s="70"/>
      <c r="I22" s="70"/>
      <c r="J22" s="70">
        <v>10</v>
      </c>
      <c r="K22" s="70"/>
      <c r="L22" s="70"/>
      <c r="M22" s="75">
        <f t="shared" si="0"/>
        <v>25</v>
      </c>
      <c r="N22" s="70" t="s">
        <v>56</v>
      </c>
    </row>
    <row r="23" spans="1:14" x14ac:dyDescent="0.25">
      <c r="A23" s="70" t="s">
        <v>122</v>
      </c>
      <c r="B23" s="70" t="s">
        <v>117</v>
      </c>
      <c r="C23" s="70"/>
      <c r="D23" s="70"/>
      <c r="E23" s="70"/>
      <c r="F23" s="70">
        <v>9</v>
      </c>
      <c r="G23" s="70"/>
      <c r="H23" s="70"/>
      <c r="I23" s="70"/>
      <c r="J23" s="70"/>
      <c r="K23" s="70"/>
      <c r="L23" s="70"/>
      <c r="M23" s="75">
        <f t="shared" si="0"/>
        <v>9</v>
      </c>
      <c r="N23" s="70" t="s">
        <v>117</v>
      </c>
    </row>
    <row r="24" spans="1:14" x14ac:dyDescent="0.25">
      <c r="A24" s="70" t="s">
        <v>122</v>
      </c>
      <c r="B24" s="70" t="s">
        <v>202</v>
      </c>
      <c r="C24" s="70"/>
      <c r="D24" s="70"/>
      <c r="E24" s="70"/>
      <c r="F24" s="70"/>
      <c r="G24" s="70"/>
      <c r="H24" s="70"/>
      <c r="I24" s="70">
        <v>10</v>
      </c>
      <c r="J24" s="70"/>
      <c r="K24" s="70"/>
      <c r="L24" s="70"/>
      <c r="M24" s="75">
        <f t="shared" si="0"/>
        <v>10</v>
      </c>
      <c r="N24" s="70" t="s">
        <v>202</v>
      </c>
    </row>
    <row r="25" spans="1:14" x14ac:dyDescent="0.25">
      <c r="A25" s="70" t="s">
        <v>122</v>
      </c>
      <c r="B25" s="70" t="s">
        <v>101</v>
      </c>
      <c r="C25" s="70"/>
      <c r="D25" s="70"/>
      <c r="E25" s="70"/>
      <c r="F25" s="70"/>
      <c r="G25" s="70"/>
      <c r="H25" s="70"/>
      <c r="I25" s="70">
        <v>10</v>
      </c>
      <c r="J25" s="70"/>
      <c r="K25" s="70"/>
      <c r="L25" s="70"/>
      <c r="M25" s="75">
        <f t="shared" si="0"/>
        <v>10</v>
      </c>
      <c r="N25" s="70" t="s">
        <v>101</v>
      </c>
    </row>
    <row r="26" spans="1:14" x14ac:dyDescent="0.25">
      <c r="A26" s="68" t="s">
        <v>125</v>
      </c>
      <c r="B26" s="68" t="s">
        <v>195</v>
      </c>
      <c r="C26" s="68">
        <v>18</v>
      </c>
      <c r="D26" s="68">
        <v>9</v>
      </c>
      <c r="E26" s="68">
        <v>15</v>
      </c>
      <c r="F26" s="68">
        <v>10</v>
      </c>
      <c r="G26" s="68">
        <v>18</v>
      </c>
      <c r="H26" s="68">
        <v>12</v>
      </c>
      <c r="I26" s="68"/>
      <c r="J26" s="68">
        <v>12</v>
      </c>
      <c r="K26" s="68">
        <v>13</v>
      </c>
      <c r="L26" s="68">
        <v>7</v>
      </c>
      <c r="M26" s="76">
        <f t="shared" si="0"/>
        <v>114</v>
      </c>
      <c r="N26" s="68" t="s">
        <v>195</v>
      </c>
    </row>
    <row r="27" spans="1:14" x14ac:dyDescent="0.25">
      <c r="A27" s="68" t="s">
        <v>125</v>
      </c>
      <c r="B27" s="68" t="s">
        <v>106</v>
      </c>
      <c r="C27" s="68">
        <v>1</v>
      </c>
      <c r="D27" s="68">
        <v>1</v>
      </c>
      <c r="E27" s="68">
        <v>3</v>
      </c>
      <c r="F27" s="68"/>
      <c r="G27" s="68">
        <v>2</v>
      </c>
      <c r="H27" s="68"/>
      <c r="I27" s="68"/>
      <c r="J27" s="68"/>
      <c r="K27" s="68">
        <v>9</v>
      </c>
      <c r="L27" s="68"/>
      <c r="M27" s="76">
        <f t="shared" si="0"/>
        <v>16</v>
      </c>
      <c r="N27" s="68" t="s">
        <v>106</v>
      </c>
    </row>
    <row r="28" spans="1:14" x14ac:dyDescent="0.25">
      <c r="A28" s="68" t="s">
        <v>125</v>
      </c>
      <c r="B28" s="68" t="s">
        <v>56</v>
      </c>
      <c r="C28" s="68">
        <v>2</v>
      </c>
      <c r="D28" s="68"/>
      <c r="E28" s="68">
        <v>9</v>
      </c>
      <c r="F28" s="68"/>
      <c r="G28" s="68">
        <v>8</v>
      </c>
      <c r="H28" s="68">
        <v>3</v>
      </c>
      <c r="I28" s="68"/>
      <c r="J28" s="68"/>
      <c r="K28" s="68">
        <v>1</v>
      </c>
      <c r="L28" s="68"/>
      <c r="M28" s="76">
        <f t="shared" si="0"/>
        <v>23</v>
      </c>
      <c r="N28" s="68" t="s">
        <v>56</v>
      </c>
    </row>
    <row r="29" spans="1:14" x14ac:dyDescent="0.25">
      <c r="A29" s="68" t="s">
        <v>125</v>
      </c>
      <c r="B29" s="24" t="s">
        <v>203</v>
      </c>
      <c r="C29" s="24"/>
      <c r="D29" s="24"/>
      <c r="E29" s="24">
        <v>3</v>
      </c>
      <c r="F29" s="24"/>
      <c r="G29" s="24"/>
      <c r="H29" s="24"/>
      <c r="I29" s="24"/>
      <c r="J29" s="24"/>
      <c r="K29" s="24"/>
      <c r="L29" s="24"/>
      <c r="M29" s="76">
        <f t="shared" si="0"/>
        <v>3</v>
      </c>
      <c r="N29" s="24" t="s">
        <v>203</v>
      </c>
    </row>
    <row r="30" spans="1:14" x14ac:dyDescent="0.25">
      <c r="A30" s="68" t="s">
        <v>125</v>
      </c>
      <c r="B30" s="24" t="s">
        <v>204</v>
      </c>
      <c r="C30" s="24"/>
      <c r="D30" s="24"/>
      <c r="E30" s="24">
        <v>1</v>
      </c>
      <c r="F30" s="24"/>
      <c r="G30" s="24"/>
      <c r="H30" s="24"/>
      <c r="I30" s="24"/>
      <c r="J30" s="24"/>
      <c r="K30" s="24"/>
      <c r="L30" s="24"/>
      <c r="M30" s="76">
        <f t="shared" si="0"/>
        <v>1</v>
      </c>
      <c r="N30" s="24" t="s">
        <v>204</v>
      </c>
    </row>
    <row r="31" spans="1:14" x14ac:dyDescent="0.25">
      <c r="A31" s="68" t="s">
        <v>125</v>
      </c>
      <c r="B31" s="24" t="s">
        <v>87</v>
      </c>
      <c r="C31" s="24"/>
      <c r="D31" s="24"/>
      <c r="E31" s="24"/>
      <c r="F31" s="24"/>
      <c r="G31" s="24"/>
      <c r="H31" s="24"/>
      <c r="I31" s="24">
        <v>8</v>
      </c>
      <c r="J31" s="24"/>
      <c r="K31" s="24">
        <v>9</v>
      </c>
      <c r="L31" s="24"/>
      <c r="M31" s="76">
        <f t="shared" si="0"/>
        <v>17</v>
      </c>
      <c r="N31" s="24" t="s">
        <v>87</v>
      </c>
    </row>
    <row r="32" spans="1:14" x14ac:dyDescent="0.25">
      <c r="A32" s="68" t="s">
        <v>125</v>
      </c>
      <c r="B32" s="24" t="s">
        <v>200</v>
      </c>
      <c r="C32" s="24"/>
      <c r="D32" s="24"/>
      <c r="E32" s="24"/>
      <c r="F32" s="24"/>
      <c r="G32" s="24"/>
      <c r="H32" s="24"/>
      <c r="I32" s="24">
        <v>8</v>
      </c>
      <c r="J32" s="24"/>
      <c r="K32" s="24"/>
      <c r="L32" s="24"/>
      <c r="M32" s="76">
        <f t="shared" si="0"/>
        <v>8</v>
      </c>
      <c r="N32" s="24" t="s">
        <v>200</v>
      </c>
    </row>
    <row r="33" spans="1:14" x14ac:dyDescent="0.25">
      <c r="A33" s="68" t="s">
        <v>125</v>
      </c>
      <c r="B33" s="24" t="s">
        <v>202</v>
      </c>
      <c r="C33" s="24"/>
      <c r="D33" s="24"/>
      <c r="E33" s="24"/>
      <c r="F33" s="24"/>
      <c r="G33" s="24"/>
      <c r="H33" s="24"/>
      <c r="I33" s="24">
        <v>2</v>
      </c>
      <c r="J33" s="24"/>
      <c r="K33" s="24"/>
      <c r="L33" s="24"/>
      <c r="M33" s="76">
        <f t="shared" si="0"/>
        <v>2</v>
      </c>
      <c r="N33" s="24" t="s">
        <v>202</v>
      </c>
    </row>
    <row r="34" spans="1:14" x14ac:dyDescent="0.25">
      <c r="A34" s="68" t="s">
        <v>125</v>
      </c>
      <c r="B34" s="24" t="s">
        <v>101</v>
      </c>
      <c r="C34" s="24"/>
      <c r="D34" s="24"/>
      <c r="E34" s="24"/>
      <c r="F34" s="24"/>
      <c r="G34" s="24"/>
      <c r="H34" s="24"/>
      <c r="I34" s="24">
        <v>2</v>
      </c>
      <c r="J34" s="24"/>
      <c r="K34" s="24"/>
      <c r="L34" s="24"/>
      <c r="M34" s="76">
        <f t="shared" si="0"/>
        <v>2</v>
      </c>
      <c r="N34" s="24" t="s">
        <v>101</v>
      </c>
    </row>
    <row r="35" spans="1:14" x14ac:dyDescent="0.25">
      <c r="A35" s="68" t="s">
        <v>125</v>
      </c>
      <c r="B35" s="24" t="s">
        <v>205</v>
      </c>
      <c r="C35" s="24"/>
      <c r="D35" s="24"/>
      <c r="E35" s="24"/>
      <c r="F35" s="24"/>
      <c r="G35" s="24"/>
      <c r="H35" s="24"/>
      <c r="I35" s="24">
        <v>1</v>
      </c>
      <c r="J35" s="24"/>
      <c r="K35" s="24"/>
      <c r="L35" s="24"/>
      <c r="M35" s="76">
        <f t="shared" si="0"/>
        <v>1</v>
      </c>
      <c r="N35" s="24" t="s">
        <v>205</v>
      </c>
    </row>
    <row r="36" spans="1:14" x14ac:dyDescent="0.25">
      <c r="A36" s="68" t="s">
        <v>125</v>
      </c>
      <c r="B36" s="24" t="s">
        <v>201</v>
      </c>
      <c r="C36" s="24"/>
      <c r="D36" s="24"/>
      <c r="E36" s="24"/>
      <c r="F36" s="24"/>
      <c r="G36" s="24"/>
      <c r="H36" s="24"/>
      <c r="I36" s="24">
        <v>1</v>
      </c>
      <c r="J36" s="24"/>
      <c r="K36" s="24"/>
      <c r="L36" s="24"/>
      <c r="M36" s="76">
        <f t="shared" si="0"/>
        <v>1</v>
      </c>
      <c r="N36" s="24" t="s">
        <v>201</v>
      </c>
    </row>
    <row r="37" spans="1:14" x14ac:dyDescent="0.25">
      <c r="A37" s="70" t="s">
        <v>126</v>
      </c>
      <c r="B37" s="70" t="s">
        <v>195</v>
      </c>
      <c r="C37" s="70">
        <v>10</v>
      </c>
      <c r="D37" s="70">
        <v>9</v>
      </c>
      <c r="E37" s="70">
        <v>14</v>
      </c>
      <c r="F37" s="70">
        <v>10</v>
      </c>
      <c r="G37" s="70">
        <v>18</v>
      </c>
      <c r="H37" s="70">
        <v>11</v>
      </c>
      <c r="I37" s="70"/>
      <c r="J37" s="70">
        <v>12</v>
      </c>
      <c r="K37" s="70">
        <v>16</v>
      </c>
      <c r="L37" s="70">
        <v>9</v>
      </c>
      <c r="M37" s="75">
        <f t="shared" si="0"/>
        <v>109</v>
      </c>
      <c r="N37" s="70" t="s">
        <v>195</v>
      </c>
    </row>
    <row r="38" spans="1:14" x14ac:dyDescent="0.25">
      <c r="A38" s="70" t="s">
        <v>126</v>
      </c>
      <c r="B38" s="70" t="s">
        <v>56</v>
      </c>
      <c r="C38" s="70">
        <v>8</v>
      </c>
      <c r="D38" s="70"/>
      <c r="E38" s="70"/>
      <c r="F38" s="70">
        <v>10</v>
      </c>
      <c r="G38" s="70">
        <v>10</v>
      </c>
      <c r="H38" s="70">
        <v>5</v>
      </c>
      <c r="I38" s="70"/>
      <c r="J38" s="70"/>
      <c r="K38" s="70"/>
      <c r="L38" s="70"/>
      <c r="M38" s="75">
        <f t="shared" si="0"/>
        <v>33</v>
      </c>
      <c r="N38" s="70" t="s">
        <v>56</v>
      </c>
    </row>
    <row r="39" spans="1:14" x14ac:dyDescent="0.25">
      <c r="A39" s="70" t="s">
        <v>126</v>
      </c>
      <c r="B39" s="70" t="s">
        <v>106</v>
      </c>
      <c r="C39" s="70"/>
      <c r="D39" s="70">
        <v>10</v>
      </c>
      <c r="E39" s="70"/>
      <c r="F39" s="70">
        <v>9</v>
      </c>
      <c r="G39" s="70">
        <v>9</v>
      </c>
      <c r="H39" s="70"/>
      <c r="I39" s="70"/>
      <c r="J39" s="70"/>
      <c r="K39" s="70"/>
      <c r="L39" s="70"/>
      <c r="M39" s="75">
        <f t="shared" si="0"/>
        <v>28</v>
      </c>
      <c r="N39" s="70" t="s">
        <v>106</v>
      </c>
    </row>
    <row r="40" spans="1:14" x14ac:dyDescent="0.25">
      <c r="A40" s="70" t="s">
        <v>126</v>
      </c>
      <c r="B40" s="70" t="s">
        <v>196</v>
      </c>
      <c r="C40" s="70"/>
      <c r="D40" s="70">
        <v>1</v>
      </c>
      <c r="E40" s="70"/>
      <c r="F40" s="70"/>
      <c r="G40" s="70"/>
      <c r="H40" s="70"/>
      <c r="I40" s="70"/>
      <c r="J40" s="70"/>
      <c r="K40" s="70"/>
      <c r="L40" s="70"/>
      <c r="M40" s="75">
        <f t="shared" si="0"/>
        <v>1</v>
      </c>
      <c r="N40" s="70" t="s">
        <v>196</v>
      </c>
    </row>
    <row r="41" spans="1:14" x14ac:dyDescent="0.25">
      <c r="A41" s="70" t="s">
        <v>126</v>
      </c>
      <c r="B41" s="70" t="s">
        <v>206</v>
      </c>
      <c r="C41" s="70"/>
      <c r="D41" s="70"/>
      <c r="E41" s="70">
        <v>1</v>
      </c>
      <c r="F41" s="70"/>
      <c r="G41" s="70"/>
      <c r="H41" s="70"/>
      <c r="I41" s="70"/>
      <c r="J41" s="70"/>
      <c r="K41" s="70"/>
      <c r="L41" s="70"/>
      <c r="M41" s="75">
        <f t="shared" si="0"/>
        <v>1</v>
      </c>
      <c r="N41" s="70" t="s">
        <v>206</v>
      </c>
    </row>
    <row r="42" spans="1:14" x14ac:dyDescent="0.25">
      <c r="A42" s="70" t="s">
        <v>126</v>
      </c>
      <c r="B42" s="70" t="s">
        <v>203</v>
      </c>
      <c r="C42" s="70"/>
      <c r="D42" s="70"/>
      <c r="E42" s="70"/>
      <c r="F42" s="70">
        <v>1</v>
      </c>
      <c r="G42" s="70"/>
      <c r="H42" s="70"/>
      <c r="I42" s="70"/>
      <c r="J42" s="70"/>
      <c r="K42" s="70"/>
      <c r="L42" s="70"/>
      <c r="M42" s="75">
        <f t="shared" si="0"/>
        <v>1</v>
      </c>
      <c r="N42" s="70" t="s">
        <v>203</v>
      </c>
    </row>
    <row r="43" spans="1:14" x14ac:dyDescent="0.25">
      <c r="A43" s="70" t="s">
        <v>126</v>
      </c>
      <c r="B43" s="70" t="s">
        <v>87</v>
      </c>
      <c r="C43" s="70"/>
      <c r="D43" s="70"/>
      <c r="E43" s="70"/>
      <c r="F43" s="70"/>
      <c r="G43" s="70"/>
      <c r="H43" s="70"/>
      <c r="I43" s="70">
        <v>8</v>
      </c>
      <c r="J43" s="70"/>
      <c r="K43" s="70"/>
      <c r="L43" s="70"/>
      <c r="M43" s="75">
        <f t="shared" si="0"/>
        <v>8</v>
      </c>
      <c r="N43" s="70" t="s">
        <v>87</v>
      </c>
    </row>
    <row r="44" spans="1:14" x14ac:dyDescent="0.25">
      <c r="A44" s="70" t="s">
        <v>126</v>
      </c>
      <c r="B44" s="70" t="s">
        <v>102</v>
      </c>
      <c r="C44" s="70"/>
      <c r="D44" s="70"/>
      <c r="E44" s="70"/>
      <c r="F44" s="70"/>
      <c r="G44" s="70"/>
      <c r="H44" s="70"/>
      <c r="I44" s="70">
        <v>5</v>
      </c>
      <c r="J44" s="70"/>
      <c r="K44" s="70"/>
      <c r="L44" s="70"/>
      <c r="M44" s="75">
        <f t="shared" si="0"/>
        <v>5</v>
      </c>
      <c r="N44" s="70" t="s">
        <v>102</v>
      </c>
    </row>
    <row r="45" spans="1:14" x14ac:dyDescent="0.25">
      <c r="A45" s="71" t="s">
        <v>126</v>
      </c>
      <c r="B45" s="71" t="s">
        <v>101</v>
      </c>
      <c r="C45" s="71"/>
      <c r="D45" s="71"/>
      <c r="E45" s="71"/>
      <c r="F45" s="71"/>
      <c r="G45" s="71"/>
      <c r="H45" s="71"/>
      <c r="I45" s="71">
        <v>9</v>
      </c>
      <c r="J45" s="71"/>
      <c r="K45" s="71"/>
      <c r="L45" s="71"/>
      <c r="M45" s="77">
        <f t="shared" si="0"/>
        <v>9</v>
      </c>
      <c r="N45" s="71" t="s">
        <v>101</v>
      </c>
    </row>
    <row r="46" spans="1:14" x14ac:dyDescent="0.25">
      <c r="A46" s="24" t="s">
        <v>127</v>
      </c>
      <c r="B46" s="24" t="s">
        <v>195</v>
      </c>
      <c r="C46" s="24">
        <v>10</v>
      </c>
      <c r="D46" s="24">
        <v>12</v>
      </c>
      <c r="E46" s="24">
        <v>13</v>
      </c>
      <c r="F46" s="24">
        <v>11</v>
      </c>
      <c r="G46" s="24">
        <v>14</v>
      </c>
      <c r="H46" s="24">
        <v>10</v>
      </c>
      <c r="I46" s="24"/>
      <c r="J46" s="24">
        <v>10</v>
      </c>
      <c r="K46" s="24">
        <v>14</v>
      </c>
      <c r="L46" s="24">
        <v>9</v>
      </c>
      <c r="M46" s="78">
        <f t="shared" si="0"/>
        <v>103</v>
      </c>
      <c r="N46" s="24" t="s">
        <v>195</v>
      </c>
    </row>
    <row r="47" spans="1:14" x14ac:dyDescent="0.25">
      <c r="A47" s="24" t="s">
        <v>127</v>
      </c>
      <c r="B47" s="24" t="s">
        <v>56</v>
      </c>
      <c r="C47" s="24">
        <v>3</v>
      </c>
      <c r="D47" s="24"/>
      <c r="E47" s="24">
        <v>4</v>
      </c>
      <c r="F47" s="24"/>
      <c r="G47" s="24"/>
      <c r="H47" s="24"/>
      <c r="I47" s="24"/>
      <c r="J47" s="24">
        <v>9</v>
      </c>
      <c r="K47" s="24"/>
      <c r="L47" s="24"/>
      <c r="M47" s="78">
        <f t="shared" si="0"/>
        <v>16</v>
      </c>
      <c r="N47" s="24" t="s">
        <v>56</v>
      </c>
    </row>
    <row r="48" spans="1:14" x14ac:dyDescent="0.25">
      <c r="A48" s="24" t="s">
        <v>127</v>
      </c>
      <c r="B48" s="24" t="s">
        <v>106</v>
      </c>
      <c r="C48" s="24"/>
      <c r="D48" s="24">
        <v>8</v>
      </c>
      <c r="E48" s="24"/>
      <c r="F48" s="24">
        <v>10</v>
      </c>
      <c r="G48" s="24"/>
      <c r="H48" s="24"/>
      <c r="I48" s="24"/>
      <c r="J48" s="24"/>
      <c r="K48" s="24"/>
      <c r="L48" s="24"/>
      <c r="M48" s="78">
        <f t="shared" si="0"/>
        <v>18</v>
      </c>
      <c r="N48" s="24" t="s">
        <v>106</v>
      </c>
    </row>
    <row r="49" spans="1:14" x14ac:dyDescent="0.25">
      <c r="A49" s="24" t="s">
        <v>127</v>
      </c>
      <c r="B49" t="s">
        <v>1</v>
      </c>
      <c r="C49" s="24"/>
      <c r="D49" s="24">
        <v>1</v>
      </c>
      <c r="E49" s="24">
        <v>1</v>
      </c>
      <c r="F49" s="24"/>
      <c r="G49" s="24"/>
      <c r="H49" s="24"/>
      <c r="I49" s="24"/>
      <c r="J49" s="24"/>
      <c r="K49" s="24"/>
      <c r="L49" s="24"/>
      <c r="M49" s="78">
        <f t="shared" si="0"/>
        <v>2</v>
      </c>
      <c r="N49" t="s">
        <v>1</v>
      </c>
    </row>
    <row r="50" spans="1:14" x14ac:dyDescent="0.25">
      <c r="A50" s="24" t="s">
        <v>127</v>
      </c>
      <c r="B50" s="24" t="s">
        <v>207</v>
      </c>
      <c r="C50" s="24"/>
      <c r="D50" s="24"/>
      <c r="E50" s="24"/>
      <c r="F50" s="24">
        <v>10</v>
      </c>
      <c r="G50" s="24"/>
      <c r="H50" s="24"/>
      <c r="I50" s="24"/>
      <c r="J50" s="24"/>
      <c r="K50" s="24"/>
      <c r="L50" s="24"/>
      <c r="M50" s="78">
        <f t="shared" si="0"/>
        <v>10</v>
      </c>
      <c r="N50" s="24" t="s">
        <v>207</v>
      </c>
    </row>
    <row r="51" spans="1:14" x14ac:dyDescent="0.25">
      <c r="A51" s="24" t="s">
        <v>127</v>
      </c>
      <c r="B51" s="24" t="s">
        <v>87</v>
      </c>
      <c r="C51" s="24"/>
      <c r="D51" s="24"/>
      <c r="E51" s="24"/>
      <c r="F51" s="24"/>
      <c r="G51" s="24"/>
      <c r="H51" s="24"/>
      <c r="I51" s="24">
        <v>10</v>
      </c>
      <c r="J51" s="24"/>
      <c r="K51" s="24"/>
      <c r="L51" s="24"/>
      <c r="M51" s="78">
        <f t="shared" si="0"/>
        <v>10</v>
      </c>
      <c r="N51" s="24" t="s">
        <v>87</v>
      </c>
    </row>
    <row r="52" spans="1:14" x14ac:dyDescent="0.25">
      <c r="A52" s="24" t="s">
        <v>127</v>
      </c>
      <c r="B52" s="24" t="s">
        <v>202</v>
      </c>
      <c r="C52" s="24"/>
      <c r="D52" s="24"/>
      <c r="E52" s="24"/>
      <c r="F52" s="24"/>
      <c r="G52" s="24"/>
      <c r="H52" s="24"/>
      <c r="I52" s="24">
        <v>2</v>
      </c>
      <c r="J52" s="24"/>
      <c r="K52" s="24"/>
      <c r="L52" s="24"/>
      <c r="M52" s="78">
        <f t="shared" si="0"/>
        <v>2</v>
      </c>
      <c r="N52" s="24" t="s">
        <v>202</v>
      </c>
    </row>
    <row r="53" spans="1:14" x14ac:dyDescent="0.25">
      <c r="A53" s="24" t="s">
        <v>127</v>
      </c>
      <c r="B53" s="24" t="s">
        <v>201</v>
      </c>
      <c r="C53" s="24"/>
      <c r="D53" s="24"/>
      <c r="E53" s="24"/>
      <c r="F53" s="24"/>
      <c r="G53" s="24"/>
      <c r="H53" s="24"/>
      <c r="I53" s="24">
        <v>6</v>
      </c>
      <c r="J53" s="24"/>
      <c r="K53" s="24"/>
      <c r="L53" s="24"/>
      <c r="M53" s="78">
        <f t="shared" si="0"/>
        <v>6</v>
      </c>
      <c r="N53" s="24" t="s">
        <v>201</v>
      </c>
    </row>
    <row r="54" spans="1:14" x14ac:dyDescent="0.25">
      <c r="A54" s="24" t="s">
        <v>127</v>
      </c>
      <c r="B54" s="24" t="s">
        <v>102</v>
      </c>
      <c r="C54" s="24"/>
      <c r="D54" s="24"/>
      <c r="E54" s="24"/>
      <c r="F54" s="24"/>
      <c r="G54" s="24"/>
      <c r="H54" s="24"/>
      <c r="I54" s="24">
        <v>2</v>
      </c>
      <c r="J54" s="24"/>
      <c r="K54" s="24"/>
      <c r="L54" s="24"/>
      <c r="M54" s="78">
        <f t="shared" si="0"/>
        <v>2</v>
      </c>
      <c r="N54" s="24" t="s">
        <v>102</v>
      </c>
    </row>
    <row r="55" spans="1:14" x14ac:dyDescent="0.25">
      <c r="A55" s="70" t="s">
        <v>128</v>
      </c>
      <c r="B55" s="70" t="s">
        <v>195</v>
      </c>
      <c r="C55" s="70">
        <v>10</v>
      </c>
      <c r="D55" s="70">
        <v>13</v>
      </c>
      <c r="E55" s="70">
        <v>19</v>
      </c>
      <c r="F55" s="70">
        <v>14</v>
      </c>
      <c r="G55" s="70">
        <v>12</v>
      </c>
      <c r="H55" s="70">
        <v>20</v>
      </c>
      <c r="I55" s="70"/>
      <c r="J55" s="70">
        <v>20</v>
      </c>
      <c r="K55" s="70">
        <v>17</v>
      </c>
      <c r="L55" s="70">
        <v>0</v>
      </c>
      <c r="M55" s="77">
        <f t="shared" si="0"/>
        <v>125</v>
      </c>
      <c r="N55" s="70" t="s">
        <v>195</v>
      </c>
    </row>
    <row r="56" spans="1:14" x14ac:dyDescent="0.25">
      <c r="A56" s="70" t="s">
        <v>128</v>
      </c>
      <c r="B56" s="70" t="s">
        <v>106</v>
      </c>
      <c r="C56" s="70">
        <v>4</v>
      </c>
      <c r="D56" s="70">
        <v>10</v>
      </c>
      <c r="E56" s="70"/>
      <c r="F56" s="70">
        <v>10</v>
      </c>
      <c r="G56" s="70"/>
      <c r="H56" s="70"/>
      <c r="I56" s="70"/>
      <c r="J56" s="70"/>
      <c r="K56" s="70"/>
      <c r="L56" s="70"/>
      <c r="M56" s="77">
        <f t="shared" si="0"/>
        <v>24</v>
      </c>
      <c r="N56" s="70" t="s">
        <v>106</v>
      </c>
    </row>
    <row r="57" spans="1:14" x14ac:dyDescent="0.25">
      <c r="A57" s="70" t="s">
        <v>128</v>
      </c>
      <c r="B57" s="70" t="s">
        <v>56</v>
      </c>
      <c r="C57" s="70">
        <v>9</v>
      </c>
      <c r="D57" s="70"/>
      <c r="E57" s="70">
        <v>1</v>
      </c>
      <c r="F57" s="70"/>
      <c r="G57" s="70"/>
      <c r="H57" s="70"/>
      <c r="I57" s="70"/>
      <c r="J57" s="70"/>
      <c r="K57" s="70"/>
      <c r="L57" s="70"/>
      <c r="M57" s="77">
        <f t="shared" si="0"/>
        <v>10</v>
      </c>
      <c r="N57" s="70" t="s">
        <v>56</v>
      </c>
    </row>
    <row r="58" spans="1:14" x14ac:dyDescent="0.25">
      <c r="A58" s="70" t="s">
        <v>128</v>
      </c>
      <c r="B58" s="70" t="s">
        <v>207</v>
      </c>
      <c r="C58" s="70"/>
      <c r="D58" s="70"/>
      <c r="E58" s="70"/>
      <c r="F58" s="70">
        <v>10</v>
      </c>
      <c r="G58" s="70"/>
      <c r="H58" s="70"/>
      <c r="I58" s="70"/>
      <c r="J58" s="70"/>
      <c r="K58" s="70"/>
      <c r="L58" s="70"/>
      <c r="M58" s="77">
        <f t="shared" si="0"/>
        <v>10</v>
      </c>
      <c r="N58" s="70" t="s">
        <v>207</v>
      </c>
    </row>
    <row r="59" spans="1:14" x14ac:dyDescent="0.25">
      <c r="A59" s="70" t="s">
        <v>128</v>
      </c>
      <c r="B59" s="70" t="s">
        <v>202</v>
      </c>
      <c r="C59" s="70"/>
      <c r="D59" s="70"/>
      <c r="E59" s="70"/>
      <c r="F59" s="70"/>
      <c r="G59" s="70"/>
      <c r="H59" s="70"/>
      <c r="I59" s="70">
        <v>1</v>
      </c>
      <c r="J59" s="70"/>
      <c r="K59" s="70"/>
      <c r="L59" s="70"/>
      <c r="M59" s="77">
        <f t="shared" si="0"/>
        <v>1</v>
      </c>
      <c r="N59" s="70" t="s">
        <v>202</v>
      </c>
    </row>
    <row r="60" spans="1:14" x14ac:dyDescent="0.25">
      <c r="A60" s="70" t="s">
        <v>128</v>
      </c>
      <c r="B60" s="70" t="s">
        <v>101</v>
      </c>
      <c r="C60" s="70"/>
      <c r="D60" s="70"/>
      <c r="E60" s="70"/>
      <c r="F60" s="70"/>
      <c r="G60" s="70"/>
      <c r="H60" s="70"/>
      <c r="I60" s="70">
        <v>3</v>
      </c>
      <c r="J60" s="70"/>
      <c r="K60" s="70"/>
      <c r="L60" s="70"/>
      <c r="M60" s="77">
        <f t="shared" si="0"/>
        <v>3</v>
      </c>
      <c r="N60" s="70" t="s">
        <v>101</v>
      </c>
    </row>
    <row r="61" spans="1:14" x14ac:dyDescent="0.25">
      <c r="A61" s="70" t="s">
        <v>128</v>
      </c>
      <c r="B61" s="70" t="s">
        <v>201</v>
      </c>
      <c r="C61" s="70"/>
      <c r="D61" s="70"/>
      <c r="E61" s="70"/>
      <c r="F61" s="70"/>
      <c r="G61" s="70"/>
      <c r="H61" s="70"/>
      <c r="I61" s="70">
        <v>7</v>
      </c>
      <c r="J61" s="70"/>
      <c r="K61" s="70"/>
      <c r="L61" s="70"/>
      <c r="M61" s="77">
        <f t="shared" si="0"/>
        <v>7</v>
      </c>
      <c r="N61" s="70" t="s">
        <v>201</v>
      </c>
    </row>
    <row r="62" spans="1:14" x14ac:dyDescent="0.25">
      <c r="A62" s="70" t="s">
        <v>128</v>
      </c>
      <c r="B62" s="70" t="s">
        <v>205</v>
      </c>
      <c r="C62" s="70"/>
      <c r="D62" s="70"/>
      <c r="E62" s="70"/>
      <c r="F62" s="70"/>
      <c r="G62" s="70"/>
      <c r="H62" s="70"/>
      <c r="I62" s="70">
        <v>4</v>
      </c>
      <c r="J62" s="70"/>
      <c r="K62" s="70"/>
      <c r="L62" s="70"/>
      <c r="M62" s="77">
        <f t="shared" si="0"/>
        <v>4</v>
      </c>
      <c r="N62" s="70" t="s">
        <v>205</v>
      </c>
    </row>
    <row r="63" spans="1:14" x14ac:dyDescent="0.25">
      <c r="A63" s="70" t="s">
        <v>128</v>
      </c>
      <c r="B63" s="70" t="s">
        <v>102</v>
      </c>
      <c r="C63" s="70"/>
      <c r="D63" s="70"/>
      <c r="E63" s="70"/>
      <c r="F63" s="70"/>
      <c r="G63" s="70"/>
      <c r="H63" s="70"/>
      <c r="I63" s="70">
        <v>5</v>
      </c>
      <c r="J63" s="70"/>
      <c r="K63" s="70"/>
      <c r="L63" s="70"/>
      <c r="M63" s="77">
        <f t="shared" si="0"/>
        <v>5</v>
      </c>
      <c r="N63" s="70" t="s">
        <v>102</v>
      </c>
    </row>
    <row r="64" spans="1:14" x14ac:dyDescent="0.25">
      <c r="A64" s="24" t="s">
        <v>129</v>
      </c>
      <c r="B64" s="24" t="s">
        <v>195</v>
      </c>
      <c r="C64" s="24">
        <v>10</v>
      </c>
      <c r="D64" s="24">
        <v>11</v>
      </c>
      <c r="E64" s="24">
        <v>12</v>
      </c>
      <c r="F64" s="24">
        <v>8</v>
      </c>
      <c r="G64" s="24">
        <v>12</v>
      </c>
      <c r="H64" s="24">
        <v>10</v>
      </c>
      <c r="I64" s="24"/>
      <c r="J64" s="24">
        <v>20</v>
      </c>
      <c r="K64" s="24">
        <v>14</v>
      </c>
      <c r="L64" s="24">
        <v>20</v>
      </c>
      <c r="M64" s="78">
        <f t="shared" si="0"/>
        <v>117</v>
      </c>
      <c r="N64" s="24" t="s">
        <v>195</v>
      </c>
    </row>
    <row r="65" spans="1:14" x14ac:dyDescent="0.25">
      <c r="A65" s="24" t="s">
        <v>129</v>
      </c>
      <c r="B65" s="24" t="s">
        <v>56</v>
      </c>
      <c r="C65" s="24">
        <v>6</v>
      </c>
      <c r="D65" s="24">
        <v>2</v>
      </c>
      <c r="E65" s="24">
        <v>4</v>
      </c>
      <c r="F65" s="24">
        <v>8</v>
      </c>
      <c r="G65" s="24"/>
      <c r="H65" s="24"/>
      <c r="I65" s="24"/>
      <c r="J65" s="24"/>
      <c r="K65" s="24">
        <v>2</v>
      </c>
      <c r="L65" s="24"/>
      <c r="M65" s="78">
        <f t="shared" si="0"/>
        <v>22</v>
      </c>
      <c r="N65" s="24" t="s">
        <v>56</v>
      </c>
    </row>
    <row r="66" spans="1:14" x14ac:dyDescent="0.25">
      <c r="A66" s="24" t="s">
        <v>129</v>
      </c>
      <c r="B66" s="24" t="s">
        <v>106</v>
      </c>
      <c r="C66" s="24">
        <v>2</v>
      </c>
      <c r="D66" s="24">
        <v>4</v>
      </c>
      <c r="E66" s="24"/>
      <c r="F66" s="24">
        <v>8</v>
      </c>
      <c r="G66" s="24"/>
      <c r="H66" s="24"/>
      <c r="I66" s="24"/>
      <c r="J66" s="24"/>
      <c r="K66" s="24"/>
      <c r="L66" s="24"/>
      <c r="M66" s="78">
        <f t="shared" si="0"/>
        <v>14</v>
      </c>
      <c r="N66" s="24" t="s">
        <v>106</v>
      </c>
    </row>
    <row r="67" spans="1:14" x14ac:dyDescent="0.25">
      <c r="A67" s="24" t="s">
        <v>129</v>
      </c>
      <c r="B67" s="24" t="s">
        <v>87</v>
      </c>
      <c r="C67" s="24"/>
      <c r="D67" s="24"/>
      <c r="E67" s="24"/>
      <c r="F67" s="24"/>
      <c r="G67" s="24"/>
      <c r="H67" s="24"/>
      <c r="I67" s="24">
        <v>4</v>
      </c>
      <c r="J67" s="24"/>
      <c r="K67" s="24"/>
      <c r="L67" s="24"/>
      <c r="M67" s="78">
        <f t="shared" ref="M67:M87" si="1">SUM(C67:L67)</f>
        <v>4</v>
      </c>
      <c r="N67" s="24" t="s">
        <v>87</v>
      </c>
    </row>
    <row r="68" spans="1:14" x14ac:dyDescent="0.25">
      <c r="A68" s="24" t="s">
        <v>129</v>
      </c>
      <c r="B68" s="24" t="s">
        <v>202</v>
      </c>
      <c r="C68" s="24"/>
      <c r="D68" s="24"/>
      <c r="E68" s="24"/>
      <c r="F68" s="24"/>
      <c r="G68" s="24"/>
      <c r="H68" s="24"/>
      <c r="I68" s="24">
        <v>2</v>
      </c>
      <c r="J68" s="24"/>
      <c r="K68" s="24"/>
      <c r="L68" s="24"/>
      <c r="M68" s="78">
        <f t="shared" si="1"/>
        <v>2</v>
      </c>
      <c r="N68" s="24" t="s">
        <v>202</v>
      </c>
    </row>
    <row r="69" spans="1:14" x14ac:dyDescent="0.25">
      <c r="A69" s="24" t="s">
        <v>129</v>
      </c>
      <c r="B69" s="24" t="s">
        <v>102</v>
      </c>
      <c r="C69" s="24"/>
      <c r="D69" s="24"/>
      <c r="E69" s="24"/>
      <c r="F69" s="24"/>
      <c r="G69" s="24"/>
      <c r="H69" s="24"/>
      <c r="I69" s="24">
        <v>7</v>
      </c>
      <c r="J69" s="24"/>
      <c r="K69" s="24"/>
      <c r="L69" s="24"/>
      <c r="M69" s="78">
        <f t="shared" si="1"/>
        <v>7</v>
      </c>
      <c r="N69" s="24" t="s">
        <v>102</v>
      </c>
    </row>
    <row r="70" spans="1:14" x14ac:dyDescent="0.25">
      <c r="A70" s="24" t="s">
        <v>129</v>
      </c>
      <c r="B70" s="24" t="s">
        <v>101</v>
      </c>
      <c r="C70" s="24"/>
      <c r="D70" s="24"/>
      <c r="E70" s="24"/>
      <c r="F70" s="24"/>
      <c r="G70" s="24"/>
      <c r="H70" s="24"/>
      <c r="I70" s="24">
        <v>3</v>
      </c>
      <c r="J70" s="24"/>
      <c r="K70" s="24"/>
      <c r="L70" s="24"/>
      <c r="M70" s="78">
        <f t="shared" si="1"/>
        <v>3</v>
      </c>
      <c r="N70" s="24" t="s">
        <v>101</v>
      </c>
    </row>
    <row r="71" spans="1:14" x14ac:dyDescent="0.25">
      <c r="A71" s="24" t="s">
        <v>129</v>
      </c>
      <c r="B71" s="24" t="s">
        <v>201</v>
      </c>
      <c r="C71" s="24"/>
      <c r="D71" s="24"/>
      <c r="E71" s="24"/>
      <c r="F71" s="24"/>
      <c r="G71" s="24"/>
      <c r="H71" s="24"/>
      <c r="I71" s="24">
        <v>1</v>
      </c>
      <c r="J71" s="24"/>
      <c r="K71" s="24"/>
      <c r="L71" s="24"/>
      <c r="M71" s="78">
        <f t="shared" si="1"/>
        <v>1</v>
      </c>
      <c r="N71" s="24" t="s">
        <v>201</v>
      </c>
    </row>
    <row r="72" spans="1:14" x14ac:dyDescent="0.25">
      <c r="A72" s="70" t="s">
        <v>130</v>
      </c>
      <c r="B72" s="70" t="s">
        <v>195</v>
      </c>
      <c r="C72" s="70">
        <v>10</v>
      </c>
      <c r="D72" s="70">
        <v>11</v>
      </c>
      <c r="E72" s="70">
        <v>15</v>
      </c>
      <c r="F72" s="70">
        <v>10</v>
      </c>
      <c r="G72" s="70">
        <v>9</v>
      </c>
      <c r="H72" s="70">
        <v>10</v>
      </c>
      <c r="I72" s="70"/>
      <c r="J72" s="70">
        <v>19</v>
      </c>
      <c r="K72" s="70">
        <v>10</v>
      </c>
      <c r="L72" s="70">
        <v>0</v>
      </c>
      <c r="M72" s="75">
        <f t="shared" si="1"/>
        <v>94</v>
      </c>
      <c r="N72" s="70" t="s">
        <v>195</v>
      </c>
    </row>
    <row r="73" spans="1:14" x14ac:dyDescent="0.25">
      <c r="A73" s="70" t="s">
        <v>130</v>
      </c>
      <c r="B73" s="70" t="s">
        <v>106</v>
      </c>
      <c r="C73" s="70"/>
      <c r="D73" s="70">
        <v>10</v>
      </c>
      <c r="E73" s="70"/>
      <c r="F73" s="70"/>
      <c r="G73" s="70">
        <v>1</v>
      </c>
      <c r="H73" s="70"/>
      <c r="I73" s="70"/>
      <c r="J73" s="70"/>
      <c r="K73" s="70"/>
      <c r="L73" s="70"/>
      <c r="M73" s="75">
        <f t="shared" si="1"/>
        <v>11</v>
      </c>
      <c r="N73" s="70" t="s">
        <v>106</v>
      </c>
    </row>
    <row r="74" spans="1:14" x14ac:dyDescent="0.25">
      <c r="A74" s="70" t="s">
        <v>130</v>
      </c>
      <c r="B74" s="70" t="s">
        <v>56</v>
      </c>
      <c r="C74" s="70"/>
      <c r="D74" s="70"/>
      <c r="E74" s="70">
        <v>8</v>
      </c>
      <c r="F74" s="70">
        <v>10</v>
      </c>
      <c r="G74" s="70">
        <v>1</v>
      </c>
      <c r="H74" s="70"/>
      <c r="I74" s="70"/>
      <c r="J74" s="70">
        <v>1</v>
      </c>
      <c r="K74" s="70">
        <v>4</v>
      </c>
      <c r="L74" s="70"/>
      <c r="M74" s="75">
        <f t="shared" si="1"/>
        <v>24</v>
      </c>
      <c r="N74" s="70" t="s">
        <v>56</v>
      </c>
    </row>
    <row r="75" spans="1:14" x14ac:dyDescent="0.25">
      <c r="A75" s="70" t="s">
        <v>130</v>
      </c>
      <c r="B75" s="70" t="s">
        <v>87</v>
      </c>
      <c r="C75" s="70"/>
      <c r="D75" s="70"/>
      <c r="E75" s="70"/>
      <c r="F75" s="70"/>
      <c r="G75" s="70"/>
      <c r="H75" s="70"/>
      <c r="I75" s="70">
        <v>10</v>
      </c>
      <c r="J75" s="70"/>
      <c r="K75" s="70"/>
      <c r="L75" s="70"/>
      <c r="M75" s="75">
        <f t="shared" si="1"/>
        <v>10</v>
      </c>
      <c r="N75" s="70" t="s">
        <v>87</v>
      </c>
    </row>
    <row r="76" spans="1:14" x14ac:dyDescent="0.25">
      <c r="A76" s="70" t="s">
        <v>130</v>
      </c>
      <c r="B76" s="70" t="s">
        <v>205</v>
      </c>
      <c r="C76" s="70"/>
      <c r="D76" s="70"/>
      <c r="E76" s="70"/>
      <c r="F76" s="70"/>
      <c r="G76" s="70"/>
      <c r="H76" s="70"/>
      <c r="I76" s="70">
        <v>1</v>
      </c>
      <c r="J76" s="70"/>
      <c r="K76" s="70"/>
      <c r="L76" s="70"/>
      <c r="M76" s="75">
        <f t="shared" si="1"/>
        <v>1</v>
      </c>
      <c r="N76" s="70" t="s">
        <v>205</v>
      </c>
    </row>
    <row r="77" spans="1:14" x14ac:dyDescent="0.25">
      <c r="A77" s="70" t="s">
        <v>130</v>
      </c>
      <c r="B77" s="70" t="s">
        <v>202</v>
      </c>
      <c r="C77" s="70"/>
      <c r="D77" s="70"/>
      <c r="E77" s="70"/>
      <c r="F77" s="70"/>
      <c r="G77" s="70"/>
      <c r="H77" s="70"/>
      <c r="I77" s="70">
        <v>1</v>
      </c>
      <c r="J77" s="70"/>
      <c r="K77" s="70"/>
      <c r="L77" s="70"/>
      <c r="M77" s="75">
        <f t="shared" si="1"/>
        <v>1</v>
      </c>
      <c r="N77" s="70" t="s">
        <v>202</v>
      </c>
    </row>
    <row r="78" spans="1:14" x14ac:dyDescent="0.25">
      <c r="A78" s="70" t="s">
        <v>130</v>
      </c>
      <c r="B78" s="70" t="s">
        <v>201</v>
      </c>
      <c r="C78" s="70"/>
      <c r="D78" s="70"/>
      <c r="E78" s="70"/>
      <c r="F78" s="70"/>
      <c r="G78" s="70"/>
      <c r="H78" s="70"/>
      <c r="I78" s="70">
        <v>5</v>
      </c>
      <c r="J78" s="70"/>
      <c r="K78" s="70"/>
      <c r="L78" s="70"/>
      <c r="M78" s="75">
        <f t="shared" si="1"/>
        <v>5</v>
      </c>
      <c r="N78" s="70" t="s">
        <v>201</v>
      </c>
    </row>
    <row r="79" spans="1:14" x14ac:dyDescent="0.25">
      <c r="A79" s="70" t="s">
        <v>130</v>
      </c>
      <c r="B79" s="70" t="s">
        <v>102</v>
      </c>
      <c r="C79" s="70"/>
      <c r="D79" s="70"/>
      <c r="E79" s="70"/>
      <c r="F79" s="70"/>
      <c r="G79" s="70"/>
      <c r="H79" s="70"/>
      <c r="I79" s="70">
        <v>3</v>
      </c>
      <c r="J79" s="70"/>
      <c r="K79" s="70"/>
      <c r="L79" s="70"/>
      <c r="M79" s="75">
        <f t="shared" si="1"/>
        <v>3</v>
      </c>
      <c r="N79" s="70" t="s">
        <v>102</v>
      </c>
    </row>
    <row r="80" spans="1:14" x14ac:dyDescent="0.25">
      <c r="A80" s="70" t="s">
        <v>130</v>
      </c>
      <c r="B80" s="70" t="s">
        <v>208</v>
      </c>
      <c r="C80" s="70"/>
      <c r="D80" s="70"/>
      <c r="E80" s="70"/>
      <c r="F80" s="70"/>
      <c r="G80" s="70"/>
      <c r="H80" s="70"/>
      <c r="I80" s="70"/>
      <c r="J80" s="70"/>
      <c r="K80" s="70">
        <v>1</v>
      </c>
      <c r="L80" s="70"/>
      <c r="M80" s="75">
        <f t="shared" si="1"/>
        <v>1</v>
      </c>
      <c r="N80" s="70" t="s">
        <v>208</v>
      </c>
    </row>
    <row r="81" spans="1:38" x14ac:dyDescent="0.25">
      <c r="A81" s="70" t="s">
        <v>130</v>
      </c>
      <c r="B81" s="70" t="s">
        <v>199</v>
      </c>
      <c r="C81" s="70"/>
      <c r="D81" s="70"/>
      <c r="E81" s="70"/>
      <c r="F81" s="70"/>
      <c r="G81" s="70"/>
      <c r="H81" s="70"/>
      <c r="I81" s="70"/>
      <c r="J81" s="70"/>
      <c r="K81" s="70">
        <v>1</v>
      </c>
      <c r="L81" s="70"/>
      <c r="M81" s="75">
        <f t="shared" si="1"/>
        <v>1</v>
      </c>
      <c r="N81" s="70" t="s">
        <v>199</v>
      </c>
    </row>
    <row r="82" spans="1:38" x14ac:dyDescent="0.25">
      <c r="A82" s="70" t="s">
        <v>130</v>
      </c>
      <c r="B82" s="70" t="s">
        <v>87</v>
      </c>
      <c r="C82" s="70"/>
      <c r="D82" s="70"/>
      <c r="E82" s="70"/>
      <c r="F82" s="70"/>
      <c r="G82" s="70"/>
      <c r="H82" s="70"/>
      <c r="I82" s="70"/>
      <c r="J82" s="70"/>
      <c r="K82" s="70">
        <v>5</v>
      </c>
      <c r="L82" s="70"/>
      <c r="M82" s="75">
        <f t="shared" si="1"/>
        <v>5</v>
      </c>
      <c r="N82" s="70" t="s">
        <v>87</v>
      </c>
    </row>
    <row r="83" spans="1:38" x14ac:dyDescent="0.25">
      <c r="A83" s="24" t="s">
        <v>131</v>
      </c>
      <c r="B83" s="24" t="s">
        <v>195</v>
      </c>
      <c r="C83" s="24">
        <v>16</v>
      </c>
      <c r="D83" s="24">
        <v>14</v>
      </c>
      <c r="E83" s="24">
        <v>14</v>
      </c>
      <c r="F83" s="24">
        <v>8</v>
      </c>
      <c r="G83" s="24">
        <v>11</v>
      </c>
      <c r="H83" s="24">
        <v>20</v>
      </c>
      <c r="I83" s="24"/>
      <c r="J83" s="24">
        <v>20</v>
      </c>
      <c r="K83" s="24">
        <v>10</v>
      </c>
      <c r="L83" s="24">
        <v>0</v>
      </c>
      <c r="M83" s="74">
        <f t="shared" si="1"/>
        <v>113</v>
      </c>
      <c r="N83" s="24" t="s">
        <v>195</v>
      </c>
    </row>
    <row r="84" spans="1:38" x14ac:dyDescent="0.25">
      <c r="A84" s="24" t="s">
        <v>131</v>
      </c>
      <c r="B84" s="24" t="s">
        <v>56</v>
      </c>
      <c r="C84" s="24"/>
      <c r="D84" s="24"/>
      <c r="E84" s="24">
        <v>2</v>
      </c>
      <c r="F84" s="24">
        <v>8</v>
      </c>
      <c r="G84" s="24"/>
      <c r="H84" s="24"/>
      <c r="I84" s="24"/>
      <c r="J84" s="24"/>
      <c r="K84" s="24"/>
      <c r="L84" s="24"/>
      <c r="M84" s="74">
        <f t="shared" si="1"/>
        <v>10</v>
      </c>
      <c r="N84" s="24" t="s">
        <v>56</v>
      </c>
    </row>
    <row r="85" spans="1:38" x14ac:dyDescent="0.25">
      <c r="A85" s="24" t="s">
        <v>131</v>
      </c>
      <c r="B85" s="24" t="s">
        <v>106</v>
      </c>
      <c r="C85" s="24"/>
      <c r="D85" s="24">
        <v>8</v>
      </c>
      <c r="E85" s="24"/>
      <c r="F85" s="24">
        <v>8</v>
      </c>
      <c r="G85" s="24"/>
      <c r="H85" s="24"/>
      <c r="I85" s="24"/>
      <c r="J85" s="24"/>
      <c r="K85" s="24"/>
      <c r="L85" s="24"/>
      <c r="M85" s="74">
        <f t="shared" si="1"/>
        <v>16</v>
      </c>
      <c r="N85" s="24" t="s">
        <v>106</v>
      </c>
    </row>
    <row r="86" spans="1:38" x14ac:dyDescent="0.25">
      <c r="A86" s="24" t="s">
        <v>131</v>
      </c>
      <c r="B86" s="24" t="s">
        <v>87</v>
      </c>
      <c r="C86" s="24"/>
      <c r="D86" s="24"/>
      <c r="E86" s="24"/>
      <c r="F86" s="24"/>
      <c r="G86" s="24"/>
      <c r="H86" s="24"/>
      <c r="I86" s="24">
        <v>10</v>
      </c>
      <c r="J86" s="24"/>
      <c r="K86" s="24"/>
      <c r="L86" s="24"/>
      <c r="M86" s="74">
        <f t="shared" si="1"/>
        <v>10</v>
      </c>
      <c r="N86" s="24" t="s">
        <v>87</v>
      </c>
    </row>
    <row r="87" spans="1:38" x14ac:dyDescent="0.25">
      <c r="A87" s="24" t="s">
        <v>131</v>
      </c>
      <c r="B87" s="24" t="s">
        <v>201</v>
      </c>
      <c r="C87" s="24"/>
      <c r="D87" s="24"/>
      <c r="E87" s="24"/>
      <c r="F87" s="24"/>
      <c r="G87" s="24"/>
      <c r="H87" s="24"/>
      <c r="I87" s="24">
        <v>10</v>
      </c>
      <c r="J87" s="24"/>
      <c r="K87" s="24"/>
      <c r="L87" s="24"/>
      <c r="M87" s="78">
        <f t="shared" si="1"/>
        <v>10</v>
      </c>
      <c r="N87" s="24" t="s">
        <v>201</v>
      </c>
    </row>
    <row r="88" spans="1:38" x14ac:dyDescent="0.25">
      <c r="M88" s="79">
        <f>SUM(M2:M87)</f>
        <v>1783</v>
      </c>
    </row>
    <row r="91" spans="1:38" ht="15.75" thickBot="1" x14ac:dyDescent="0.3"/>
    <row r="92" spans="1:38" x14ac:dyDescent="0.25">
      <c r="A92" s="83">
        <v>151</v>
      </c>
      <c r="B92" s="84" t="s">
        <v>195</v>
      </c>
      <c r="C92" s="84">
        <v>11</v>
      </c>
      <c r="D92" s="84" t="s">
        <v>106</v>
      </c>
      <c r="E92" s="84">
        <v>15</v>
      </c>
      <c r="F92" s="84" t="s">
        <v>56</v>
      </c>
      <c r="G92" s="84">
        <v>17</v>
      </c>
      <c r="H92" s="84" t="s">
        <v>87</v>
      </c>
      <c r="I92" s="84">
        <v>1</v>
      </c>
      <c r="J92" s="84" t="s">
        <v>196</v>
      </c>
      <c r="K92" s="84">
        <v>4</v>
      </c>
      <c r="L92" s="84" t="s">
        <v>102</v>
      </c>
      <c r="M92" s="84">
        <v>2</v>
      </c>
      <c r="N92" s="84" t="s">
        <v>202</v>
      </c>
      <c r="O92" s="84">
        <v>3</v>
      </c>
      <c r="P92" s="84" t="s">
        <v>200</v>
      </c>
      <c r="Q92" s="84">
        <v>1</v>
      </c>
      <c r="R92" s="84" t="s">
        <v>213</v>
      </c>
      <c r="S92" s="84">
        <v>10</v>
      </c>
      <c r="T92" s="84" t="s">
        <v>198</v>
      </c>
      <c r="U92" s="84">
        <v>3</v>
      </c>
      <c r="V92" s="84" t="s">
        <v>203</v>
      </c>
      <c r="W92" s="84">
        <v>1</v>
      </c>
      <c r="X92" s="84" t="s">
        <v>205</v>
      </c>
      <c r="Y92" s="84">
        <v>10</v>
      </c>
      <c r="Z92" s="84" t="s">
        <v>207</v>
      </c>
      <c r="AA92" s="84">
        <v>1</v>
      </c>
      <c r="AB92" s="84" t="s">
        <v>199</v>
      </c>
      <c r="AC92" s="84">
        <v>1</v>
      </c>
      <c r="AD92" s="84" t="s">
        <v>1</v>
      </c>
      <c r="AE92" s="84">
        <v>1</v>
      </c>
      <c r="AF92" s="84" t="s">
        <v>208</v>
      </c>
      <c r="AG92" s="84">
        <v>10</v>
      </c>
      <c r="AH92" s="84" t="s">
        <v>101</v>
      </c>
      <c r="AI92" s="84">
        <v>1</v>
      </c>
      <c r="AJ92" s="84" t="s">
        <v>197</v>
      </c>
      <c r="AK92" s="84">
        <v>5</v>
      </c>
      <c r="AL92" s="85" t="s">
        <v>201</v>
      </c>
    </row>
    <row r="93" spans="1:38" x14ac:dyDescent="0.25">
      <c r="A93" s="86">
        <v>96</v>
      </c>
      <c r="B93" s="87" t="s">
        <v>195</v>
      </c>
      <c r="C93" s="87">
        <v>13</v>
      </c>
      <c r="D93" s="87" t="s">
        <v>106</v>
      </c>
      <c r="E93" s="87">
        <v>24</v>
      </c>
      <c r="F93" s="87" t="s">
        <v>56</v>
      </c>
      <c r="G93" s="87">
        <v>9</v>
      </c>
      <c r="H93" s="87" t="s">
        <v>87</v>
      </c>
      <c r="I93" s="87">
        <v>1</v>
      </c>
      <c r="J93" s="87" t="s">
        <v>196</v>
      </c>
      <c r="K93" s="87">
        <v>5</v>
      </c>
      <c r="L93" s="87" t="s">
        <v>102</v>
      </c>
      <c r="M93" s="87">
        <v>10</v>
      </c>
      <c r="N93" s="87" t="s">
        <v>202</v>
      </c>
      <c r="O93" s="87">
        <v>8</v>
      </c>
      <c r="P93" s="87" t="s">
        <v>200</v>
      </c>
      <c r="Q93" s="87"/>
      <c r="R93" s="87"/>
      <c r="S93" s="87"/>
      <c r="T93" s="87"/>
      <c r="U93" s="87">
        <v>1</v>
      </c>
      <c r="V93" s="87" t="s">
        <v>203</v>
      </c>
      <c r="W93" s="87">
        <v>4</v>
      </c>
      <c r="X93" s="87" t="s">
        <v>205</v>
      </c>
      <c r="Y93" s="87">
        <v>10</v>
      </c>
      <c r="Z93" s="87" t="s">
        <v>207</v>
      </c>
      <c r="AA93" s="87">
        <v>1</v>
      </c>
      <c r="AB93" s="87" t="s">
        <v>199</v>
      </c>
      <c r="AC93" s="87">
        <v>2</v>
      </c>
      <c r="AD93" s="87" t="s">
        <v>1</v>
      </c>
      <c r="AE93" s="87"/>
      <c r="AF93" s="87"/>
      <c r="AG93" s="87">
        <v>2</v>
      </c>
      <c r="AH93" s="87" t="s">
        <v>101</v>
      </c>
      <c r="AI93" s="87"/>
      <c r="AJ93" s="87"/>
      <c r="AK93" s="87">
        <v>1</v>
      </c>
      <c r="AL93" s="88" t="s">
        <v>201</v>
      </c>
    </row>
    <row r="94" spans="1:38" x14ac:dyDescent="0.25">
      <c r="A94" s="86">
        <v>98</v>
      </c>
      <c r="B94" s="87" t="s">
        <v>195</v>
      </c>
      <c r="C94" s="87">
        <v>29</v>
      </c>
      <c r="D94" s="87" t="s">
        <v>106</v>
      </c>
      <c r="E94" s="87">
        <v>25</v>
      </c>
      <c r="F94" s="87" t="s">
        <v>56</v>
      </c>
      <c r="G94" s="87">
        <v>12</v>
      </c>
      <c r="H94" s="87" t="s">
        <v>87</v>
      </c>
      <c r="I94" s="87">
        <v>1</v>
      </c>
      <c r="J94" s="87" t="s">
        <v>196</v>
      </c>
      <c r="K94" s="87">
        <v>2</v>
      </c>
      <c r="L94" s="87" t="s">
        <v>102</v>
      </c>
      <c r="M94" s="87">
        <v>2</v>
      </c>
      <c r="N94" s="87" t="s">
        <v>202</v>
      </c>
      <c r="O94" s="87"/>
      <c r="P94" s="87"/>
      <c r="Q94" s="87"/>
      <c r="R94" s="87"/>
      <c r="S94" s="87"/>
      <c r="T94" s="87"/>
      <c r="U94" s="87"/>
      <c r="V94" s="87"/>
      <c r="W94" s="87">
        <v>1</v>
      </c>
      <c r="X94" s="87" t="s">
        <v>205</v>
      </c>
      <c r="Y94" s="87">
        <v>9</v>
      </c>
      <c r="Z94" s="87" t="s">
        <v>211</v>
      </c>
      <c r="AA94" s="87"/>
      <c r="AB94" s="87"/>
      <c r="AC94" s="87"/>
      <c r="AD94" s="87"/>
      <c r="AE94" s="87"/>
      <c r="AF94" s="87"/>
      <c r="AG94" s="87">
        <v>9</v>
      </c>
      <c r="AH94" s="87" t="s">
        <v>101</v>
      </c>
      <c r="AI94" s="87"/>
      <c r="AJ94" s="87"/>
      <c r="AK94" s="87">
        <v>6</v>
      </c>
      <c r="AL94" s="88" t="s">
        <v>201</v>
      </c>
    </row>
    <row r="95" spans="1:38" x14ac:dyDescent="0.25">
      <c r="A95" s="86">
        <v>114</v>
      </c>
      <c r="B95" s="87" t="s">
        <v>195</v>
      </c>
      <c r="C95" s="87">
        <v>16</v>
      </c>
      <c r="D95" s="87" t="s">
        <v>106</v>
      </c>
      <c r="E95" s="87">
        <v>23</v>
      </c>
      <c r="F95" s="87" t="s">
        <v>56</v>
      </c>
      <c r="G95" s="87">
        <v>17</v>
      </c>
      <c r="H95" s="87" t="s">
        <v>87</v>
      </c>
      <c r="I95" s="87"/>
      <c r="J95" s="87"/>
      <c r="K95" s="87">
        <v>5</v>
      </c>
      <c r="L95" s="87" t="s">
        <v>102</v>
      </c>
      <c r="M95" s="87">
        <v>2</v>
      </c>
      <c r="N95" s="87" t="s">
        <v>202</v>
      </c>
      <c r="O95" s="87"/>
      <c r="P95" s="87"/>
      <c r="Q95" s="87"/>
      <c r="R95" s="87"/>
      <c r="S95" s="87"/>
      <c r="T95" s="87"/>
      <c r="U95" s="87"/>
      <c r="V95" s="87"/>
      <c r="W95" s="87"/>
      <c r="X95" s="87"/>
      <c r="Y95" s="87"/>
      <c r="Z95" s="87"/>
      <c r="AA95" s="87"/>
      <c r="AB95" s="87"/>
      <c r="AC95" s="87"/>
      <c r="AD95" s="87"/>
      <c r="AE95" s="87"/>
      <c r="AF95" s="87"/>
      <c r="AG95" s="87">
        <v>3</v>
      </c>
      <c r="AH95" s="87" t="s">
        <v>101</v>
      </c>
      <c r="AI95" s="87"/>
      <c r="AJ95" s="87"/>
      <c r="AK95" s="87">
        <v>7</v>
      </c>
      <c r="AL95" s="88" t="s">
        <v>201</v>
      </c>
    </row>
    <row r="96" spans="1:38" x14ac:dyDescent="0.25">
      <c r="A96" s="86">
        <v>109</v>
      </c>
      <c r="B96" s="87" t="s">
        <v>195</v>
      </c>
      <c r="C96" s="87">
        <v>28</v>
      </c>
      <c r="D96" s="87" t="s">
        <v>106</v>
      </c>
      <c r="E96" s="87">
        <v>33</v>
      </c>
      <c r="F96" s="87" t="s">
        <v>56</v>
      </c>
      <c r="G96" s="87">
        <v>8</v>
      </c>
      <c r="H96" s="87" t="s">
        <v>87</v>
      </c>
      <c r="I96" s="87"/>
      <c r="J96" s="87"/>
      <c r="K96" s="87">
        <v>7</v>
      </c>
      <c r="L96" s="87" t="s">
        <v>102</v>
      </c>
      <c r="M96" s="87">
        <v>1</v>
      </c>
      <c r="N96" s="87" t="s">
        <v>202</v>
      </c>
      <c r="O96" s="87"/>
      <c r="P96" s="87"/>
      <c r="Q96" s="87"/>
      <c r="R96" s="87"/>
      <c r="S96" s="87"/>
      <c r="T96" s="87"/>
      <c r="U96" s="87"/>
      <c r="V96" s="87"/>
      <c r="W96" s="87"/>
      <c r="X96" s="87"/>
      <c r="Y96" s="87"/>
      <c r="Z96" s="87"/>
      <c r="AA96" s="87"/>
      <c r="AB96" s="87"/>
      <c r="AC96" s="87"/>
      <c r="AD96" s="87"/>
      <c r="AE96" s="87"/>
      <c r="AF96" s="87"/>
      <c r="AG96" s="87">
        <v>3</v>
      </c>
      <c r="AH96" s="87" t="s">
        <v>101</v>
      </c>
      <c r="AI96" s="87"/>
      <c r="AJ96" s="87"/>
      <c r="AK96" s="87">
        <v>1</v>
      </c>
      <c r="AL96" s="88" t="s">
        <v>201</v>
      </c>
    </row>
    <row r="97" spans="1:38" x14ac:dyDescent="0.25">
      <c r="A97" s="86">
        <v>103</v>
      </c>
      <c r="B97" s="87" t="s">
        <v>195</v>
      </c>
      <c r="C97" s="87">
        <v>18</v>
      </c>
      <c r="D97" s="87" t="s">
        <v>106</v>
      </c>
      <c r="E97" s="87">
        <v>16</v>
      </c>
      <c r="F97" s="87" t="s">
        <v>56</v>
      </c>
      <c r="G97" s="87">
        <v>10</v>
      </c>
      <c r="H97" s="87" t="s">
        <v>87</v>
      </c>
      <c r="I97" s="87"/>
      <c r="J97" s="87"/>
      <c r="K97" s="87">
        <v>3</v>
      </c>
      <c r="L97" s="87" t="s">
        <v>102</v>
      </c>
      <c r="M97" s="87">
        <v>2</v>
      </c>
      <c r="N97" s="87" t="s">
        <v>202</v>
      </c>
      <c r="O97" s="87"/>
      <c r="P97" s="87"/>
      <c r="Q97" s="87"/>
      <c r="R97" s="87"/>
      <c r="S97" s="87"/>
      <c r="T97" s="87"/>
      <c r="U97" s="87"/>
      <c r="V97" s="87"/>
      <c r="W97" s="87"/>
      <c r="X97" s="87"/>
      <c r="Y97" s="87"/>
      <c r="Z97" s="87"/>
      <c r="AA97" s="87"/>
      <c r="AB97" s="87"/>
      <c r="AC97" s="87"/>
      <c r="AD97" s="87"/>
      <c r="AE97" s="87"/>
      <c r="AF97" s="87"/>
      <c r="AG97" s="87"/>
      <c r="AH97" s="87"/>
      <c r="AI97" s="87"/>
      <c r="AJ97" s="87"/>
      <c r="AK97" s="87">
        <v>5</v>
      </c>
      <c r="AL97" s="88" t="s">
        <v>201</v>
      </c>
    </row>
    <row r="98" spans="1:38" x14ac:dyDescent="0.25">
      <c r="A98" s="86">
        <v>125</v>
      </c>
      <c r="B98" s="87" t="s">
        <v>195</v>
      </c>
      <c r="C98" s="87">
        <v>24</v>
      </c>
      <c r="D98" s="87" t="s">
        <v>106</v>
      </c>
      <c r="E98" s="87">
        <v>10</v>
      </c>
      <c r="F98" s="87" t="s">
        <v>56</v>
      </c>
      <c r="G98" s="87">
        <v>4</v>
      </c>
      <c r="H98" s="87" t="s">
        <v>87</v>
      </c>
      <c r="I98" s="87"/>
      <c r="J98" s="87"/>
      <c r="K98" s="87"/>
      <c r="L98" s="87"/>
      <c r="M98" s="87">
        <v>1</v>
      </c>
      <c r="N98" s="87" t="s">
        <v>202</v>
      </c>
      <c r="O98" s="87"/>
      <c r="P98" s="87"/>
      <c r="Q98" s="87"/>
      <c r="R98" s="87"/>
      <c r="S98" s="87"/>
      <c r="T98" s="87"/>
      <c r="U98" s="87"/>
      <c r="V98" s="87"/>
      <c r="W98" s="87"/>
      <c r="X98" s="87"/>
      <c r="Y98" s="87"/>
      <c r="Z98" s="87"/>
      <c r="AA98" s="87"/>
      <c r="AB98" s="87"/>
      <c r="AC98" s="87"/>
      <c r="AD98" s="87"/>
      <c r="AE98" s="87"/>
      <c r="AF98" s="87"/>
      <c r="AG98" s="87"/>
      <c r="AH98" s="87"/>
      <c r="AI98" s="87"/>
      <c r="AJ98" s="87"/>
      <c r="AK98" s="87">
        <v>10</v>
      </c>
      <c r="AL98" s="88" t="s">
        <v>201</v>
      </c>
    </row>
    <row r="99" spans="1:38" x14ac:dyDescent="0.25">
      <c r="A99" s="86">
        <v>117</v>
      </c>
      <c r="B99" s="87" t="s">
        <v>195</v>
      </c>
      <c r="C99" s="87">
        <v>14</v>
      </c>
      <c r="D99" s="87" t="s">
        <v>106</v>
      </c>
      <c r="E99" s="87">
        <v>22</v>
      </c>
      <c r="F99" s="87" t="s">
        <v>56</v>
      </c>
      <c r="G99" s="87">
        <v>10</v>
      </c>
      <c r="H99" s="87" t="s">
        <v>87</v>
      </c>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8"/>
    </row>
    <row r="100" spans="1:38" x14ac:dyDescent="0.25">
      <c r="A100" s="86">
        <v>94</v>
      </c>
      <c r="B100" s="87" t="s">
        <v>195</v>
      </c>
      <c r="C100" s="87">
        <v>11</v>
      </c>
      <c r="D100" s="87" t="s">
        <v>106</v>
      </c>
      <c r="E100" s="87">
        <v>24</v>
      </c>
      <c r="F100" s="87" t="s">
        <v>56</v>
      </c>
      <c r="G100" s="87">
        <v>5</v>
      </c>
      <c r="H100" s="87" t="s">
        <v>87</v>
      </c>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8"/>
    </row>
    <row r="101" spans="1:38" x14ac:dyDescent="0.25">
      <c r="A101" s="86">
        <v>113</v>
      </c>
      <c r="B101" s="87" t="s">
        <v>195</v>
      </c>
      <c r="C101" s="87">
        <v>16</v>
      </c>
      <c r="D101" s="87" t="s">
        <v>106</v>
      </c>
      <c r="E101" s="87">
        <v>10</v>
      </c>
      <c r="F101" s="87" t="s">
        <v>56</v>
      </c>
      <c r="G101" s="87">
        <v>10</v>
      </c>
      <c r="H101" s="87" t="s">
        <v>87</v>
      </c>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8"/>
    </row>
    <row r="102" spans="1:38" ht="16.5" thickBot="1" x14ac:dyDescent="0.3">
      <c r="A102" s="89">
        <f>SUM(A92:A101)</f>
        <v>1120</v>
      </c>
      <c r="B102" s="90"/>
      <c r="C102" s="90">
        <f>SUM(C92:C101)</f>
        <v>180</v>
      </c>
      <c r="D102" s="90"/>
      <c r="E102" s="90">
        <f>SUM(E92:E101)</f>
        <v>202</v>
      </c>
      <c r="F102" s="90"/>
      <c r="G102" s="90">
        <f>SUM(G92:G101)</f>
        <v>102</v>
      </c>
      <c r="H102" s="90"/>
      <c r="I102" s="90">
        <f>SUM(I92:I101)</f>
        <v>3</v>
      </c>
      <c r="J102" s="90"/>
      <c r="K102" s="90">
        <f>SUM(K92:K101)</f>
        <v>26</v>
      </c>
      <c r="L102" s="90"/>
      <c r="M102" s="90">
        <f>SUM(M92:M101)</f>
        <v>20</v>
      </c>
      <c r="N102" s="90"/>
      <c r="O102" s="90">
        <f>SUM(O92:O101)</f>
        <v>11</v>
      </c>
      <c r="P102" s="90"/>
      <c r="Q102" s="90">
        <f>SUM(Q92:Q101)</f>
        <v>1</v>
      </c>
      <c r="R102" s="90"/>
      <c r="S102" s="90">
        <f>SUM(S92:S101)</f>
        <v>10</v>
      </c>
      <c r="T102" s="90"/>
      <c r="U102" s="90">
        <f>SUM(U92:U101)</f>
        <v>4</v>
      </c>
      <c r="V102" s="90"/>
      <c r="W102" s="90">
        <f>SUM(W92:W101)</f>
        <v>6</v>
      </c>
      <c r="X102" s="90"/>
      <c r="Y102" s="90">
        <f>SUM(Y92:Y101)</f>
        <v>29</v>
      </c>
      <c r="Z102" s="90"/>
      <c r="AA102" s="90">
        <f>SUM(AA92:AA101)</f>
        <v>2</v>
      </c>
      <c r="AB102" s="90"/>
      <c r="AC102" s="90">
        <f>SUM(AC92:AC101)</f>
        <v>3</v>
      </c>
      <c r="AD102" s="90"/>
      <c r="AE102" s="90">
        <f>SUM(AE92:AE101)</f>
        <v>1</v>
      </c>
      <c r="AF102" s="90"/>
      <c r="AG102" s="90">
        <f>SUM(AG92:AG101)</f>
        <v>27</v>
      </c>
      <c r="AH102" s="90"/>
      <c r="AI102" s="90">
        <f>SUM(AI92:AI101)</f>
        <v>1</v>
      </c>
      <c r="AJ102" s="90"/>
      <c r="AK102" s="90">
        <f>SUM(AK92:AK101)</f>
        <v>35</v>
      </c>
      <c r="AL102" s="91"/>
    </row>
    <row r="103" spans="1:38" x14ac:dyDescent="0.25">
      <c r="M103"/>
    </row>
    <row r="104" spans="1:38" x14ac:dyDescent="0.25">
      <c r="M104"/>
    </row>
    <row r="105" spans="1:38" x14ac:dyDescent="0.25">
      <c r="D105" s="24" t="s">
        <v>194</v>
      </c>
      <c r="E105" s="24" t="s">
        <v>209</v>
      </c>
      <c r="M105"/>
    </row>
    <row r="106" spans="1:38" x14ac:dyDescent="0.25">
      <c r="C106" s="81" t="s">
        <v>210</v>
      </c>
      <c r="D106" s="24">
        <v>1120</v>
      </c>
      <c r="E106" s="24">
        <f>D106/10</f>
        <v>112</v>
      </c>
      <c r="M106"/>
    </row>
    <row r="107" spans="1:38" x14ac:dyDescent="0.25">
      <c r="C107" s="81" t="s">
        <v>56</v>
      </c>
      <c r="D107" s="24">
        <v>202</v>
      </c>
      <c r="E107" s="24">
        <f t="shared" ref="E107:E124" si="2">D107/10</f>
        <v>20.2</v>
      </c>
      <c r="M107"/>
    </row>
    <row r="108" spans="1:38" x14ac:dyDescent="0.25">
      <c r="C108" s="81" t="s">
        <v>106</v>
      </c>
      <c r="D108" s="24">
        <v>180</v>
      </c>
      <c r="E108" s="24">
        <f t="shared" si="2"/>
        <v>18</v>
      </c>
      <c r="M108"/>
    </row>
    <row r="109" spans="1:38" x14ac:dyDescent="0.25">
      <c r="C109" s="81" t="s">
        <v>212</v>
      </c>
      <c r="D109" s="24">
        <v>102</v>
      </c>
      <c r="E109" s="24">
        <f t="shared" si="2"/>
        <v>10.199999999999999</v>
      </c>
      <c r="M109"/>
    </row>
    <row r="110" spans="1:38" x14ac:dyDescent="0.25">
      <c r="C110" s="81" t="s">
        <v>201</v>
      </c>
      <c r="D110" s="24">
        <v>35</v>
      </c>
      <c r="E110" s="24">
        <f t="shared" si="2"/>
        <v>3.5</v>
      </c>
      <c r="M110"/>
    </row>
    <row r="111" spans="1:38" x14ac:dyDescent="0.25">
      <c r="C111" s="81" t="s">
        <v>207</v>
      </c>
      <c r="D111" s="24">
        <v>29</v>
      </c>
      <c r="E111" s="24">
        <f t="shared" si="2"/>
        <v>2.9</v>
      </c>
      <c r="M111"/>
    </row>
    <row r="112" spans="1:38" x14ac:dyDescent="0.25">
      <c r="C112" s="81" t="s">
        <v>101</v>
      </c>
      <c r="D112" s="24">
        <v>27</v>
      </c>
      <c r="E112" s="24">
        <f t="shared" si="2"/>
        <v>2.7</v>
      </c>
      <c r="M112"/>
    </row>
    <row r="113" spans="3:5" x14ac:dyDescent="0.25">
      <c r="C113" s="81" t="s">
        <v>102</v>
      </c>
      <c r="D113" s="24">
        <v>26</v>
      </c>
      <c r="E113" s="24">
        <f t="shared" si="2"/>
        <v>2.6</v>
      </c>
    </row>
    <row r="114" spans="3:5" x14ac:dyDescent="0.25">
      <c r="C114" s="81" t="s">
        <v>202</v>
      </c>
      <c r="D114" s="24">
        <v>20</v>
      </c>
      <c r="E114" s="24">
        <f t="shared" si="2"/>
        <v>2</v>
      </c>
    </row>
    <row r="115" spans="3:5" x14ac:dyDescent="0.25">
      <c r="C115" s="81" t="s">
        <v>200</v>
      </c>
      <c r="D115" s="24">
        <v>11</v>
      </c>
      <c r="E115" s="24">
        <f t="shared" si="2"/>
        <v>1.1000000000000001</v>
      </c>
    </row>
    <row r="116" spans="3:5" x14ac:dyDescent="0.25">
      <c r="C116" s="81" t="s">
        <v>214</v>
      </c>
      <c r="D116" s="24">
        <v>10</v>
      </c>
      <c r="E116" s="24">
        <f t="shared" si="2"/>
        <v>1</v>
      </c>
    </row>
    <row r="117" spans="3:5" x14ac:dyDescent="0.25">
      <c r="C117" s="81" t="s">
        <v>205</v>
      </c>
      <c r="D117" s="24">
        <v>6</v>
      </c>
      <c r="E117" s="24">
        <f t="shared" si="2"/>
        <v>0.6</v>
      </c>
    </row>
    <row r="118" spans="3:5" x14ac:dyDescent="0.25">
      <c r="C118" s="81" t="s">
        <v>203</v>
      </c>
      <c r="D118" s="24">
        <v>4</v>
      </c>
      <c r="E118" s="24">
        <f t="shared" si="2"/>
        <v>0.4</v>
      </c>
    </row>
    <row r="119" spans="3:5" x14ac:dyDescent="0.25">
      <c r="C119" s="81" t="s">
        <v>196</v>
      </c>
      <c r="D119" s="24">
        <v>3</v>
      </c>
      <c r="E119" s="24">
        <f t="shared" si="2"/>
        <v>0.3</v>
      </c>
    </row>
    <row r="120" spans="3:5" x14ac:dyDescent="0.25">
      <c r="C120" s="81" t="s">
        <v>1</v>
      </c>
      <c r="D120" s="24">
        <v>3</v>
      </c>
      <c r="E120" s="24">
        <f t="shared" si="2"/>
        <v>0.3</v>
      </c>
    </row>
    <row r="121" spans="3:5" x14ac:dyDescent="0.25">
      <c r="C121" s="81" t="s">
        <v>199</v>
      </c>
      <c r="D121" s="24">
        <v>2</v>
      </c>
      <c r="E121" s="24">
        <f t="shared" si="2"/>
        <v>0.2</v>
      </c>
    </row>
    <row r="122" spans="3:5" x14ac:dyDescent="0.25">
      <c r="C122" s="81" t="s">
        <v>213</v>
      </c>
      <c r="D122" s="24">
        <v>1</v>
      </c>
      <c r="E122" s="24">
        <f t="shared" si="2"/>
        <v>0.1</v>
      </c>
    </row>
    <row r="123" spans="3:5" x14ac:dyDescent="0.25">
      <c r="C123" s="81" t="s">
        <v>208</v>
      </c>
      <c r="D123" s="24">
        <v>1</v>
      </c>
      <c r="E123" s="24">
        <f t="shared" si="2"/>
        <v>0.1</v>
      </c>
    </row>
    <row r="124" spans="3:5" x14ac:dyDescent="0.25">
      <c r="C124" s="81" t="s">
        <v>197</v>
      </c>
      <c r="D124" s="24">
        <v>1</v>
      </c>
      <c r="E124" s="24">
        <f t="shared" si="2"/>
        <v>0.1</v>
      </c>
    </row>
    <row r="125" spans="3:5" x14ac:dyDescent="0.25">
      <c r="C125" s="82" t="s">
        <v>194</v>
      </c>
      <c r="D125" s="80">
        <f>SUM(D106:D124)</f>
        <v>1783</v>
      </c>
    </row>
    <row r="133" spans="1:12" x14ac:dyDescent="0.25">
      <c r="B133" s="92" t="s">
        <v>215</v>
      </c>
    </row>
    <row r="134" spans="1:12" x14ac:dyDescent="0.25">
      <c r="B134" s="160" t="s">
        <v>216</v>
      </c>
      <c r="C134" s="160"/>
      <c r="D134" s="160"/>
      <c r="E134" s="160"/>
      <c r="F134" s="160"/>
      <c r="G134" s="160"/>
      <c r="H134" s="160"/>
      <c r="I134" s="160"/>
      <c r="J134" s="160"/>
      <c r="K134" s="160"/>
      <c r="L134" s="160"/>
    </row>
    <row r="135" spans="1:12" x14ac:dyDescent="0.25">
      <c r="B135" s="153" t="s">
        <v>217</v>
      </c>
      <c r="C135" s="153"/>
      <c r="D135" s="153"/>
      <c r="E135" s="153"/>
      <c r="F135" s="153"/>
      <c r="G135" s="153"/>
      <c r="H135" s="153"/>
      <c r="I135" s="153"/>
      <c r="J135" s="153"/>
      <c r="K135" s="153"/>
      <c r="L135" s="153"/>
    </row>
    <row r="136" spans="1:12" x14ac:dyDescent="0.25">
      <c r="B136" s="153" t="s">
        <v>218</v>
      </c>
      <c r="C136" s="153"/>
      <c r="D136" s="153"/>
      <c r="E136" s="153"/>
      <c r="F136" s="153"/>
      <c r="G136" s="153"/>
      <c r="H136" s="153"/>
      <c r="I136" s="153"/>
      <c r="J136" s="153"/>
      <c r="K136" s="153"/>
      <c r="L136" s="153"/>
    </row>
    <row r="137" spans="1:12" x14ac:dyDescent="0.25">
      <c r="B137" s="153" t="s">
        <v>219</v>
      </c>
      <c r="C137" s="153"/>
      <c r="D137" s="153"/>
      <c r="E137" s="153"/>
      <c r="F137" s="153"/>
      <c r="G137" s="153"/>
      <c r="H137" s="153"/>
      <c r="I137" s="153"/>
      <c r="J137" s="153"/>
      <c r="K137" s="153"/>
      <c r="L137" s="153"/>
    </row>
    <row r="138" spans="1:12" ht="35.25" customHeight="1" x14ac:dyDescent="0.25">
      <c r="B138" s="161" t="s">
        <v>251</v>
      </c>
      <c r="C138" s="157"/>
      <c r="D138" s="157"/>
      <c r="E138" s="157"/>
      <c r="F138" s="157"/>
      <c r="G138" s="157"/>
      <c r="H138" s="157"/>
      <c r="I138" s="157"/>
      <c r="J138" s="157"/>
      <c r="K138" s="157"/>
      <c r="L138" s="157"/>
    </row>
    <row r="142" spans="1:12" ht="15.75" thickBot="1" x14ac:dyDescent="0.3"/>
    <row r="143" spans="1:12" ht="16.5" thickBot="1" x14ac:dyDescent="0.3">
      <c r="A143" s="98"/>
      <c r="B143" s="101" t="s">
        <v>25</v>
      </c>
      <c r="C143" s="101" t="s">
        <v>30</v>
      </c>
      <c r="D143" s="101" t="s">
        <v>0</v>
      </c>
      <c r="E143" s="101" t="s">
        <v>117</v>
      </c>
      <c r="F143" s="101" t="s">
        <v>1</v>
      </c>
      <c r="G143" s="101" t="s">
        <v>2</v>
      </c>
      <c r="H143" s="101" t="s">
        <v>193</v>
      </c>
      <c r="I143" s="101" t="s">
        <v>4</v>
      </c>
      <c r="J143" s="101" t="s">
        <v>5</v>
      </c>
      <c r="K143" s="102" t="s">
        <v>6</v>
      </c>
    </row>
    <row r="144" spans="1:12" x14ac:dyDescent="0.25">
      <c r="A144" s="93" t="s">
        <v>247</v>
      </c>
      <c r="B144" t="s">
        <v>220</v>
      </c>
      <c r="C144" t="s">
        <v>223</v>
      </c>
      <c r="D144" t="s">
        <v>226</v>
      </c>
      <c r="E144" t="s">
        <v>229</v>
      </c>
      <c r="F144" t="s">
        <v>232</v>
      </c>
      <c r="G144" t="s">
        <v>235</v>
      </c>
      <c r="H144" t="s">
        <v>237</v>
      </c>
      <c r="I144" t="s">
        <v>240</v>
      </c>
      <c r="J144" t="s">
        <v>243</v>
      </c>
      <c r="K144" s="94" t="s">
        <v>246</v>
      </c>
    </row>
    <row r="145" spans="1:15" x14ac:dyDescent="0.25">
      <c r="A145" s="93" t="s">
        <v>248</v>
      </c>
      <c r="B145" t="s">
        <v>221</v>
      </c>
      <c r="C145" t="s">
        <v>224</v>
      </c>
      <c r="D145" t="s">
        <v>227</v>
      </c>
      <c r="E145" t="s">
        <v>230</v>
      </c>
      <c r="F145" t="s">
        <v>233</v>
      </c>
      <c r="G145" t="s">
        <v>225</v>
      </c>
      <c r="H145" t="s">
        <v>238</v>
      </c>
      <c r="I145" t="s">
        <v>241</v>
      </c>
      <c r="J145" t="s">
        <v>244</v>
      </c>
      <c r="K145" s="94"/>
    </row>
    <row r="146" spans="1:15" ht="15.75" thickBot="1" x14ac:dyDescent="0.3">
      <c r="A146" s="95" t="s">
        <v>249</v>
      </c>
      <c r="B146" s="96" t="s">
        <v>222</v>
      </c>
      <c r="C146" s="96" t="s">
        <v>225</v>
      </c>
      <c r="D146" s="96" t="s">
        <v>228</v>
      </c>
      <c r="E146" s="96" t="s">
        <v>231</v>
      </c>
      <c r="F146" s="96" t="s">
        <v>234</v>
      </c>
      <c r="G146" s="96" t="s">
        <v>236</v>
      </c>
      <c r="H146" s="96" t="s">
        <v>239</v>
      </c>
      <c r="I146" s="96" t="s">
        <v>242</v>
      </c>
      <c r="J146" s="96" t="s">
        <v>245</v>
      </c>
      <c r="K146" s="97"/>
    </row>
    <row r="148" spans="1:15" ht="15.75" thickBot="1" x14ac:dyDescent="0.3"/>
    <row r="149" spans="1:15" ht="15.75" thickBot="1" x14ac:dyDescent="0.3">
      <c r="A149" s="98"/>
      <c r="B149" s="99" t="s">
        <v>250</v>
      </c>
      <c r="C149" s="100"/>
    </row>
    <row r="150" spans="1:15" x14ac:dyDescent="0.25">
      <c r="A150" s="93" t="s">
        <v>247</v>
      </c>
      <c r="B150" t="s">
        <v>195</v>
      </c>
      <c r="C150" s="94"/>
      <c r="L150" s="158" t="s">
        <v>567</v>
      </c>
      <c r="M150" s="158"/>
      <c r="N150" s="158"/>
      <c r="O150" s="158"/>
    </row>
    <row r="151" spans="1:15" x14ac:dyDescent="0.25">
      <c r="A151" s="93" t="s">
        <v>248</v>
      </c>
      <c r="B151" t="s">
        <v>106</v>
      </c>
      <c r="C151" s="94"/>
    </row>
    <row r="152" spans="1:15" ht="15.75" thickBot="1" x14ac:dyDescent="0.3">
      <c r="A152" s="95" t="s">
        <v>249</v>
      </c>
      <c r="B152" s="96" t="s">
        <v>56</v>
      </c>
      <c r="C152" s="97"/>
    </row>
    <row r="153" spans="1:15" x14ac:dyDescent="0.25">
      <c r="C153" s="1"/>
    </row>
    <row r="154" spans="1:15" x14ac:dyDescent="0.25">
      <c r="C154" s="1"/>
    </row>
    <row r="155" spans="1:15" x14ac:dyDescent="0.25">
      <c r="C155" s="1"/>
    </row>
    <row r="176" spans="2:6" x14ac:dyDescent="0.25">
      <c r="B176" t="s">
        <v>556</v>
      </c>
      <c r="C176" t="s">
        <v>557</v>
      </c>
      <c r="E176" s="81" t="s">
        <v>210</v>
      </c>
      <c r="F176" s="24">
        <v>1120</v>
      </c>
    </row>
    <row r="177" spans="1:16" ht="18.75" x14ac:dyDescent="0.25">
      <c r="A177" s="16" t="s">
        <v>25</v>
      </c>
      <c r="B177">
        <v>10</v>
      </c>
      <c r="C177" s="24">
        <v>1120</v>
      </c>
      <c r="E177" s="81" t="s">
        <v>56</v>
      </c>
      <c r="F177" s="24">
        <v>202</v>
      </c>
      <c r="H177" s="159" t="s">
        <v>568</v>
      </c>
      <c r="I177" s="159"/>
      <c r="J177" s="159"/>
    </row>
    <row r="178" spans="1:16" ht="18.75" customHeight="1" x14ac:dyDescent="0.25">
      <c r="A178" s="17" t="s">
        <v>30</v>
      </c>
      <c r="B178">
        <v>10</v>
      </c>
      <c r="C178" s="24">
        <v>180</v>
      </c>
      <c r="E178" s="81" t="s">
        <v>106</v>
      </c>
      <c r="F178" s="24">
        <v>180</v>
      </c>
      <c r="H178" s="159"/>
      <c r="I178" s="159"/>
      <c r="J178" s="159"/>
    </row>
    <row r="179" spans="1:16" ht="18.75" x14ac:dyDescent="0.25">
      <c r="A179" s="17" t="s">
        <v>0</v>
      </c>
      <c r="B179">
        <v>10</v>
      </c>
      <c r="C179" s="24">
        <v>202</v>
      </c>
      <c r="E179" s="81" t="s">
        <v>212</v>
      </c>
      <c r="F179" s="24">
        <v>102</v>
      </c>
    </row>
    <row r="180" spans="1:16" ht="25.5" customHeight="1" x14ac:dyDescent="0.25">
      <c r="A180" s="17" t="s">
        <v>117</v>
      </c>
      <c r="B180">
        <v>10</v>
      </c>
      <c r="C180" s="24">
        <v>29</v>
      </c>
      <c r="E180" s="81" t="s">
        <v>201</v>
      </c>
      <c r="F180" s="24">
        <v>35</v>
      </c>
      <c r="O180" s="147"/>
      <c r="P180" s="148"/>
    </row>
    <row r="181" spans="1:16" ht="18.75" x14ac:dyDescent="0.25">
      <c r="A181" s="17" t="s">
        <v>1</v>
      </c>
      <c r="B181">
        <v>10</v>
      </c>
      <c r="C181" s="24">
        <v>3</v>
      </c>
      <c r="E181" s="81" t="s">
        <v>207</v>
      </c>
      <c r="F181" s="24">
        <v>29</v>
      </c>
      <c r="L181" s="148"/>
      <c r="M181" s="149"/>
      <c r="N181" s="148"/>
      <c r="O181" s="148"/>
      <c r="P181" s="148"/>
    </row>
    <row r="182" spans="1:16" ht="18.75" x14ac:dyDescent="0.25">
      <c r="A182" s="17" t="s">
        <v>2</v>
      </c>
      <c r="B182">
        <v>10</v>
      </c>
      <c r="C182" s="131">
        <v>0</v>
      </c>
      <c r="E182" s="81" t="s">
        <v>101</v>
      </c>
      <c r="F182" s="24">
        <v>27</v>
      </c>
    </row>
    <row r="183" spans="1:16" ht="18.75" x14ac:dyDescent="0.25">
      <c r="A183" s="17" t="s">
        <v>3</v>
      </c>
      <c r="B183">
        <v>10</v>
      </c>
      <c r="C183" s="24">
        <v>102</v>
      </c>
      <c r="E183" s="81" t="s">
        <v>102</v>
      </c>
      <c r="F183" s="24">
        <v>26</v>
      </c>
    </row>
    <row r="184" spans="1:16" ht="18.75" x14ac:dyDescent="0.25">
      <c r="A184" s="17" t="s">
        <v>4</v>
      </c>
      <c r="B184">
        <v>10</v>
      </c>
      <c r="C184" s="24">
        <v>10</v>
      </c>
      <c r="E184" s="81" t="s">
        <v>202</v>
      </c>
      <c r="F184" s="24">
        <v>20</v>
      </c>
    </row>
    <row r="185" spans="1:16" ht="18.75" x14ac:dyDescent="0.25">
      <c r="A185" s="17" t="s">
        <v>5</v>
      </c>
      <c r="B185">
        <v>10</v>
      </c>
      <c r="C185" s="131">
        <v>0</v>
      </c>
      <c r="E185" s="81" t="s">
        <v>200</v>
      </c>
      <c r="F185" s="24">
        <v>11</v>
      </c>
    </row>
    <row r="186" spans="1:16" ht="18.75" x14ac:dyDescent="0.25">
      <c r="A186" s="17" t="s">
        <v>6</v>
      </c>
      <c r="B186">
        <v>10</v>
      </c>
      <c r="C186" s="131">
        <v>0</v>
      </c>
      <c r="E186" s="81" t="s">
        <v>214</v>
      </c>
      <c r="F186" s="24">
        <v>10</v>
      </c>
    </row>
    <row r="187" spans="1:16" x14ac:dyDescent="0.25">
      <c r="E187" s="81" t="s">
        <v>205</v>
      </c>
      <c r="F187" s="24">
        <v>6</v>
      </c>
    </row>
    <row r="188" spans="1:16" x14ac:dyDescent="0.25">
      <c r="E188" s="81" t="s">
        <v>203</v>
      </c>
      <c r="F188" s="24">
        <v>4</v>
      </c>
    </row>
    <row r="189" spans="1:16" x14ac:dyDescent="0.25">
      <c r="E189" s="81" t="s">
        <v>196</v>
      </c>
      <c r="F189" s="24">
        <v>3</v>
      </c>
    </row>
    <row r="190" spans="1:16" x14ac:dyDescent="0.25">
      <c r="E190" s="81" t="s">
        <v>1</v>
      </c>
      <c r="F190" s="24">
        <v>3</v>
      </c>
    </row>
    <row r="191" spans="1:16" x14ac:dyDescent="0.25">
      <c r="E191" s="81" t="s">
        <v>199</v>
      </c>
      <c r="F191" s="24">
        <v>2</v>
      </c>
    </row>
  </sheetData>
  <mergeCells count="7">
    <mergeCell ref="L150:O150"/>
    <mergeCell ref="H177:J178"/>
    <mergeCell ref="B134:L134"/>
    <mergeCell ref="B135:L135"/>
    <mergeCell ref="B136:L136"/>
    <mergeCell ref="B137:L137"/>
    <mergeCell ref="B138:L138"/>
  </mergeCells>
  <pageMargins left="0.25" right="0.25" top="0.75" bottom="0.75" header="0.3" footer="0.3"/>
  <pageSetup paperSize="9" scale="24" orientation="landscape"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E8E9-C048-4B37-BD2D-DE539F6EECE1}">
  <dimension ref="A1:Q477"/>
  <sheetViews>
    <sheetView tabSelected="1" topLeftCell="C1" workbookViewId="0">
      <selection activeCell="I13" sqref="I13"/>
    </sheetView>
  </sheetViews>
  <sheetFormatPr defaultRowHeight="15" x14ac:dyDescent="0.25"/>
  <cols>
    <col min="1" max="1" width="5.28515625" bestFit="1" customWidth="1"/>
    <col min="2" max="2" width="60.28515625" bestFit="1" customWidth="1"/>
    <col min="3" max="3" width="60.28515625" style="120" bestFit="1" customWidth="1"/>
    <col min="4" max="4" width="15.7109375" bestFit="1" customWidth="1"/>
    <col min="5" max="5" width="54.85546875" bestFit="1" customWidth="1"/>
    <col min="6" max="6" width="14.42578125" bestFit="1" customWidth="1"/>
    <col min="10" max="10" width="28.42578125" bestFit="1" customWidth="1"/>
    <col min="11" max="11" width="32" bestFit="1" customWidth="1"/>
    <col min="12" max="12" width="12" bestFit="1" customWidth="1"/>
    <col min="13" max="13" width="11.5703125" bestFit="1" customWidth="1"/>
    <col min="14" max="14" width="10.5703125" bestFit="1" customWidth="1"/>
  </cols>
  <sheetData>
    <row r="1" spans="1:17" ht="15" customHeight="1" x14ac:dyDescent="0.3">
      <c r="A1" s="54" t="s">
        <v>252</v>
      </c>
      <c r="B1" s="127" t="s">
        <v>550</v>
      </c>
      <c r="C1" s="127" t="s">
        <v>546</v>
      </c>
      <c r="D1" s="127"/>
      <c r="E1" s="128" t="s">
        <v>552</v>
      </c>
      <c r="F1" s="128" t="s">
        <v>527</v>
      </c>
      <c r="G1" s="127" t="s">
        <v>551</v>
      </c>
      <c r="J1" s="162" t="s">
        <v>547</v>
      </c>
      <c r="K1" s="162"/>
      <c r="L1" s="162"/>
      <c r="M1" s="162"/>
      <c r="N1" s="162"/>
      <c r="O1" s="162"/>
      <c r="P1" s="121"/>
      <c r="Q1" s="121"/>
    </row>
    <row r="2" spans="1:17" ht="15.75" x14ac:dyDescent="0.25">
      <c r="A2">
        <v>1</v>
      </c>
      <c r="B2" s="103" t="s">
        <v>253</v>
      </c>
      <c r="C2" s="119" t="s">
        <v>339</v>
      </c>
      <c r="D2" s="105"/>
      <c r="E2" s="112" t="s">
        <v>528</v>
      </c>
      <c r="F2" s="112">
        <v>47</v>
      </c>
      <c r="G2" s="126">
        <v>1</v>
      </c>
      <c r="J2" s="162"/>
      <c r="K2" s="162"/>
      <c r="L2" s="162"/>
      <c r="M2" s="162"/>
      <c r="N2" s="162"/>
      <c r="O2" s="162"/>
      <c r="P2" s="121"/>
      <c r="Q2" s="121"/>
    </row>
    <row r="3" spans="1:17" ht="15.75" x14ac:dyDescent="0.25">
      <c r="A3">
        <v>2</v>
      </c>
      <c r="B3" s="103" t="s">
        <v>254</v>
      </c>
      <c r="C3" s="119" t="s">
        <v>307</v>
      </c>
      <c r="D3" s="105"/>
      <c r="E3" s="112" t="s">
        <v>529</v>
      </c>
      <c r="F3" s="112">
        <v>32</v>
      </c>
      <c r="G3" s="126">
        <v>2</v>
      </c>
      <c r="J3" s="162"/>
      <c r="K3" s="162"/>
      <c r="L3" s="162"/>
      <c r="M3" s="162"/>
      <c r="N3" s="162"/>
      <c r="O3" s="162"/>
      <c r="P3" s="121"/>
      <c r="Q3" s="121"/>
    </row>
    <row r="4" spans="1:17" ht="15.75" x14ac:dyDescent="0.25">
      <c r="A4">
        <v>3</v>
      </c>
      <c r="B4" s="103" t="s">
        <v>255</v>
      </c>
      <c r="C4" s="119" t="s">
        <v>258</v>
      </c>
      <c r="D4" s="105"/>
      <c r="E4" s="112" t="s">
        <v>530</v>
      </c>
      <c r="F4" s="112">
        <v>25</v>
      </c>
      <c r="G4" s="126">
        <v>3</v>
      </c>
      <c r="J4" s="162"/>
      <c r="K4" s="162"/>
      <c r="L4" s="162"/>
      <c r="M4" s="162"/>
      <c r="N4" s="162"/>
      <c r="O4" s="162"/>
      <c r="P4" s="121"/>
      <c r="Q4" s="121"/>
    </row>
    <row r="5" spans="1:17" ht="15.75" x14ac:dyDescent="0.25">
      <c r="A5">
        <v>4</v>
      </c>
      <c r="B5" s="103" t="s">
        <v>256</v>
      </c>
      <c r="C5" s="119" t="s">
        <v>287</v>
      </c>
      <c r="E5" s="112" t="s">
        <v>274</v>
      </c>
      <c r="F5" s="112">
        <v>16</v>
      </c>
      <c r="G5" s="126">
        <v>4</v>
      </c>
      <c r="J5" s="162"/>
      <c r="K5" s="162"/>
      <c r="L5" s="162"/>
      <c r="M5" s="162"/>
      <c r="N5" s="162"/>
      <c r="O5" s="162"/>
      <c r="P5" s="121"/>
      <c r="Q5" s="121"/>
    </row>
    <row r="6" spans="1:17" ht="15.75" x14ac:dyDescent="0.25">
      <c r="A6">
        <v>5</v>
      </c>
      <c r="B6" s="104" t="s">
        <v>257</v>
      </c>
      <c r="C6" s="119" t="s">
        <v>287</v>
      </c>
      <c r="E6" s="112" t="s">
        <v>287</v>
      </c>
      <c r="F6" s="112">
        <v>10</v>
      </c>
      <c r="G6" s="126">
        <v>5</v>
      </c>
      <c r="J6" s="162"/>
      <c r="K6" s="162"/>
      <c r="L6" s="162"/>
      <c r="M6" s="162"/>
      <c r="N6" s="162"/>
      <c r="O6" s="162"/>
      <c r="P6" s="121"/>
      <c r="Q6" s="121"/>
    </row>
    <row r="7" spans="1:17" ht="15.75" x14ac:dyDescent="0.25">
      <c r="A7">
        <v>6</v>
      </c>
      <c r="B7" s="104" t="s">
        <v>258</v>
      </c>
      <c r="C7" s="119" t="s">
        <v>287</v>
      </c>
      <c r="E7" s="112" t="s">
        <v>313</v>
      </c>
      <c r="F7" s="112">
        <v>10</v>
      </c>
      <c r="G7" s="126">
        <v>6</v>
      </c>
      <c r="J7" s="162"/>
      <c r="K7" s="162"/>
      <c r="L7" s="162"/>
      <c r="M7" s="162"/>
      <c r="N7" s="162"/>
      <c r="O7" s="162"/>
      <c r="P7" s="121"/>
      <c r="Q7" s="121"/>
    </row>
    <row r="8" spans="1:17" ht="15.75" x14ac:dyDescent="0.25">
      <c r="A8">
        <v>7</v>
      </c>
      <c r="B8" s="104" t="s">
        <v>259</v>
      </c>
      <c r="C8" s="119" t="s">
        <v>287</v>
      </c>
      <c r="E8" s="112" t="s">
        <v>285</v>
      </c>
      <c r="F8" s="112">
        <v>10</v>
      </c>
      <c r="G8" s="126">
        <v>7</v>
      </c>
      <c r="J8" s="162"/>
      <c r="K8" s="162"/>
      <c r="L8" s="162"/>
      <c r="M8" s="162"/>
      <c r="N8" s="162"/>
      <c r="O8" s="162"/>
    </row>
    <row r="9" spans="1:17" ht="15.75" x14ac:dyDescent="0.25">
      <c r="A9">
        <v>8</v>
      </c>
      <c r="B9" s="104" t="s">
        <v>260</v>
      </c>
      <c r="C9" s="119" t="s">
        <v>287</v>
      </c>
      <c r="E9" s="112" t="s">
        <v>329</v>
      </c>
      <c r="F9" s="112">
        <v>9</v>
      </c>
      <c r="G9" s="126">
        <v>8</v>
      </c>
      <c r="J9" s="162"/>
      <c r="K9" s="162"/>
      <c r="L9" s="162"/>
      <c r="M9" s="162"/>
      <c r="N9" s="162"/>
      <c r="O9" s="162"/>
    </row>
    <row r="10" spans="1:17" ht="15.75" x14ac:dyDescent="0.25">
      <c r="A10">
        <v>9</v>
      </c>
      <c r="B10" s="103" t="s">
        <v>261</v>
      </c>
      <c r="C10" s="119" t="s">
        <v>287</v>
      </c>
      <c r="E10" s="112" t="s">
        <v>266</v>
      </c>
      <c r="F10" s="112">
        <v>9</v>
      </c>
      <c r="G10" s="126">
        <v>9</v>
      </c>
      <c r="H10" s="113"/>
      <c r="J10" s="162"/>
      <c r="K10" s="162"/>
      <c r="L10" s="162"/>
      <c r="M10" s="162"/>
      <c r="N10" s="162"/>
      <c r="O10" s="162"/>
    </row>
    <row r="11" spans="1:17" ht="15.75" x14ac:dyDescent="0.25">
      <c r="A11">
        <v>10</v>
      </c>
      <c r="B11" s="103" t="s">
        <v>262</v>
      </c>
      <c r="C11" s="119" t="s">
        <v>287</v>
      </c>
      <c r="E11" s="112" t="s">
        <v>264</v>
      </c>
      <c r="F11" s="112">
        <v>7</v>
      </c>
      <c r="G11" s="126">
        <v>10</v>
      </c>
      <c r="J11" s="162"/>
      <c r="K11" s="162"/>
      <c r="L11" s="162"/>
      <c r="M11" s="162"/>
      <c r="N11" s="162"/>
      <c r="O11" s="162"/>
    </row>
    <row r="12" spans="1:17" ht="15.75" x14ac:dyDescent="0.25">
      <c r="A12">
        <v>11</v>
      </c>
      <c r="B12" s="103" t="s">
        <v>263</v>
      </c>
      <c r="C12" s="119" t="s">
        <v>287</v>
      </c>
      <c r="E12" t="s">
        <v>362</v>
      </c>
      <c r="F12">
        <v>6</v>
      </c>
      <c r="J12" s="162"/>
      <c r="K12" s="162"/>
      <c r="L12" s="162"/>
      <c r="M12" s="162"/>
      <c r="N12" s="162"/>
      <c r="O12" s="162"/>
    </row>
    <row r="13" spans="1:17" ht="15.75" x14ac:dyDescent="0.25">
      <c r="A13">
        <v>12</v>
      </c>
      <c r="B13" s="103" t="s">
        <v>264</v>
      </c>
      <c r="C13" s="119" t="s">
        <v>287</v>
      </c>
      <c r="E13" t="s">
        <v>424</v>
      </c>
      <c r="F13">
        <v>5</v>
      </c>
      <c r="J13" s="162"/>
      <c r="K13" s="162"/>
      <c r="L13" s="162"/>
      <c r="M13" s="162"/>
      <c r="N13" s="162"/>
      <c r="O13" s="162"/>
    </row>
    <row r="14" spans="1:17" ht="15.75" x14ac:dyDescent="0.25">
      <c r="A14">
        <v>13</v>
      </c>
      <c r="B14" s="104" t="s">
        <v>265</v>
      </c>
      <c r="C14" s="119" t="s">
        <v>287</v>
      </c>
      <c r="E14" t="s">
        <v>276</v>
      </c>
      <c r="F14">
        <v>5</v>
      </c>
      <c r="J14" s="162"/>
      <c r="K14" s="162"/>
      <c r="L14" s="162"/>
      <c r="M14" s="162"/>
      <c r="N14" s="162"/>
      <c r="O14" s="162"/>
    </row>
    <row r="15" spans="1:17" ht="15.75" x14ac:dyDescent="0.25">
      <c r="A15">
        <v>14</v>
      </c>
      <c r="B15" s="104" t="s">
        <v>266</v>
      </c>
      <c r="C15" s="119" t="s">
        <v>480</v>
      </c>
      <c r="E15" t="s">
        <v>431</v>
      </c>
      <c r="F15">
        <v>5</v>
      </c>
      <c r="J15" s="162"/>
      <c r="K15" s="162"/>
      <c r="L15" s="162"/>
      <c r="M15" s="162"/>
      <c r="N15" s="162"/>
      <c r="O15" s="162"/>
    </row>
    <row r="16" spans="1:17" ht="15.75" x14ac:dyDescent="0.25">
      <c r="A16">
        <v>15</v>
      </c>
      <c r="B16" s="104" t="s">
        <v>267</v>
      </c>
      <c r="C16" s="119" t="s">
        <v>480</v>
      </c>
      <c r="E16" t="s">
        <v>370</v>
      </c>
      <c r="F16">
        <v>5</v>
      </c>
      <c r="J16" s="162"/>
      <c r="K16" s="162"/>
      <c r="L16" s="162"/>
      <c r="M16" s="162"/>
      <c r="N16" s="162"/>
      <c r="O16" s="162"/>
    </row>
    <row r="17" spans="1:15" ht="15.75" x14ac:dyDescent="0.25">
      <c r="A17">
        <v>16</v>
      </c>
      <c r="B17" s="103" t="s">
        <v>268</v>
      </c>
      <c r="C17" s="119" t="s">
        <v>533</v>
      </c>
      <c r="E17" t="s">
        <v>423</v>
      </c>
      <c r="F17">
        <v>5</v>
      </c>
      <c r="J17" s="162"/>
      <c r="K17" s="162"/>
      <c r="L17" s="162"/>
      <c r="M17" s="162"/>
      <c r="N17" s="162"/>
      <c r="O17" s="162"/>
    </row>
    <row r="18" spans="1:15" ht="15.75" x14ac:dyDescent="0.25">
      <c r="A18">
        <v>17</v>
      </c>
      <c r="B18" s="103" t="s">
        <v>269</v>
      </c>
      <c r="C18" s="119" t="s">
        <v>499</v>
      </c>
      <c r="E18" t="s">
        <v>471</v>
      </c>
      <c r="F18">
        <v>4</v>
      </c>
      <c r="J18" s="162"/>
      <c r="K18" s="162"/>
      <c r="L18" s="162"/>
      <c r="M18" s="162"/>
      <c r="N18" s="162"/>
      <c r="O18" s="162"/>
    </row>
    <row r="19" spans="1:15" ht="15.75" x14ac:dyDescent="0.25">
      <c r="A19">
        <v>18</v>
      </c>
      <c r="B19" s="103" t="s">
        <v>270</v>
      </c>
      <c r="C19" s="119" t="s">
        <v>499</v>
      </c>
      <c r="E19" t="s">
        <v>262</v>
      </c>
      <c r="F19">
        <v>4</v>
      </c>
    </row>
    <row r="20" spans="1:15" ht="16.5" thickBot="1" x14ac:dyDescent="0.3">
      <c r="A20">
        <v>19</v>
      </c>
      <c r="B20" s="103" t="s">
        <v>271</v>
      </c>
      <c r="C20" s="119" t="s">
        <v>472</v>
      </c>
      <c r="E20" t="s">
        <v>323</v>
      </c>
      <c r="F20">
        <v>4</v>
      </c>
    </row>
    <row r="21" spans="1:15" ht="15.75" x14ac:dyDescent="0.25">
      <c r="A21">
        <v>20</v>
      </c>
      <c r="B21" s="103" t="s">
        <v>272</v>
      </c>
      <c r="C21" s="119" t="s">
        <v>464</v>
      </c>
      <c r="E21" t="s">
        <v>361</v>
      </c>
      <c r="F21">
        <v>3</v>
      </c>
      <c r="J21" s="122" t="s">
        <v>540</v>
      </c>
      <c r="K21" s="123" t="s">
        <v>548</v>
      </c>
    </row>
    <row r="22" spans="1:15" ht="15.75" x14ac:dyDescent="0.25">
      <c r="A22">
        <v>21</v>
      </c>
      <c r="B22" s="103" t="s">
        <v>273</v>
      </c>
      <c r="C22" s="119" t="s">
        <v>390</v>
      </c>
      <c r="E22" t="s">
        <v>371</v>
      </c>
      <c r="F22">
        <v>3</v>
      </c>
      <c r="J22" s="116">
        <v>1</v>
      </c>
      <c r="K22" s="114" t="s">
        <v>286</v>
      </c>
    </row>
    <row r="23" spans="1:15" ht="15.75" x14ac:dyDescent="0.25">
      <c r="A23">
        <v>22</v>
      </c>
      <c r="B23" s="104" t="s">
        <v>265</v>
      </c>
      <c r="C23" s="119" t="s">
        <v>469</v>
      </c>
      <c r="E23" t="s">
        <v>314</v>
      </c>
      <c r="F23">
        <v>3</v>
      </c>
      <c r="J23" s="116">
        <v>2</v>
      </c>
      <c r="K23" s="114" t="s">
        <v>377</v>
      </c>
    </row>
    <row r="24" spans="1:15" ht="15.75" x14ac:dyDescent="0.25">
      <c r="A24">
        <v>23</v>
      </c>
      <c r="B24" s="104" t="s">
        <v>274</v>
      </c>
      <c r="C24" s="119" t="s">
        <v>323</v>
      </c>
      <c r="E24" t="s">
        <v>321</v>
      </c>
      <c r="F24">
        <v>2</v>
      </c>
      <c r="J24" s="116">
        <v>3</v>
      </c>
      <c r="K24" s="114" t="s">
        <v>528</v>
      </c>
    </row>
    <row r="25" spans="1:15" ht="15.75" x14ac:dyDescent="0.25">
      <c r="A25">
        <v>24</v>
      </c>
      <c r="B25" s="104" t="s">
        <v>275</v>
      </c>
      <c r="C25" s="119" t="s">
        <v>323</v>
      </c>
      <c r="E25" t="s">
        <v>498</v>
      </c>
      <c r="F25">
        <v>2</v>
      </c>
      <c r="J25" s="116">
        <v>4</v>
      </c>
      <c r="K25" s="114" t="s">
        <v>541</v>
      </c>
    </row>
    <row r="26" spans="1:15" ht="15.75" x14ac:dyDescent="0.25">
      <c r="A26">
        <v>25</v>
      </c>
      <c r="B26" s="104" t="s">
        <v>276</v>
      </c>
      <c r="C26" s="119" t="s">
        <v>323</v>
      </c>
      <c r="E26" t="s">
        <v>392</v>
      </c>
      <c r="F26">
        <v>2</v>
      </c>
      <c r="J26" s="116">
        <v>5</v>
      </c>
      <c r="K26" s="114" t="s">
        <v>542</v>
      </c>
    </row>
    <row r="27" spans="1:15" ht="15.75" x14ac:dyDescent="0.25">
      <c r="A27">
        <v>26</v>
      </c>
      <c r="B27" s="103" t="s">
        <v>277</v>
      </c>
      <c r="C27" s="119" t="s">
        <v>323</v>
      </c>
      <c r="E27" t="s">
        <v>405</v>
      </c>
      <c r="F27">
        <v>2</v>
      </c>
      <c r="J27" s="116">
        <v>6</v>
      </c>
      <c r="K27" s="114" t="s">
        <v>266</v>
      </c>
    </row>
    <row r="28" spans="1:15" ht="15.75" x14ac:dyDescent="0.25">
      <c r="A28">
        <v>27</v>
      </c>
      <c r="B28" s="103" t="s">
        <v>278</v>
      </c>
      <c r="C28" s="119" t="s">
        <v>522</v>
      </c>
      <c r="E28" t="s">
        <v>384</v>
      </c>
      <c r="F28">
        <v>2</v>
      </c>
      <c r="J28" s="116">
        <v>7</v>
      </c>
      <c r="K28" s="114" t="s">
        <v>329</v>
      </c>
    </row>
    <row r="29" spans="1:15" ht="15.75" x14ac:dyDescent="0.25">
      <c r="A29">
        <v>28</v>
      </c>
      <c r="B29" s="103" t="s">
        <v>279</v>
      </c>
      <c r="C29" s="118" t="s">
        <v>468</v>
      </c>
      <c r="E29" t="s">
        <v>378</v>
      </c>
      <c r="F29">
        <v>2</v>
      </c>
      <c r="J29" s="116">
        <v>8</v>
      </c>
      <c r="K29" s="114" t="s">
        <v>287</v>
      </c>
      <c r="L29" t="s">
        <v>543</v>
      </c>
      <c r="M29" t="s">
        <v>544</v>
      </c>
      <c r="N29" t="s">
        <v>545</v>
      </c>
    </row>
    <row r="30" spans="1:15" ht="15.75" x14ac:dyDescent="0.25">
      <c r="A30">
        <v>29</v>
      </c>
      <c r="B30" s="103" t="s">
        <v>280</v>
      </c>
      <c r="C30" s="119" t="s">
        <v>308</v>
      </c>
      <c r="E30" t="s">
        <v>411</v>
      </c>
      <c r="F30">
        <v>2</v>
      </c>
      <c r="J30" s="116">
        <v>9</v>
      </c>
      <c r="K30" s="114" t="s">
        <v>466</v>
      </c>
    </row>
    <row r="31" spans="1:15" ht="16.5" thickBot="1" x14ac:dyDescent="0.3">
      <c r="A31">
        <v>30</v>
      </c>
      <c r="B31" s="104" t="s">
        <v>281</v>
      </c>
      <c r="C31" s="119" t="s">
        <v>377</v>
      </c>
      <c r="D31">
        <v>1</v>
      </c>
      <c r="E31" t="s">
        <v>500</v>
      </c>
      <c r="F31">
        <v>2</v>
      </c>
      <c r="J31" s="117">
        <v>10</v>
      </c>
      <c r="K31" s="115" t="s">
        <v>269</v>
      </c>
    </row>
    <row r="32" spans="1:15" ht="15.75" x14ac:dyDescent="0.25">
      <c r="A32">
        <v>31</v>
      </c>
      <c r="B32" s="104" t="s">
        <v>282</v>
      </c>
      <c r="C32" s="119" t="s">
        <v>495</v>
      </c>
      <c r="D32">
        <v>2</v>
      </c>
      <c r="E32" t="s">
        <v>352</v>
      </c>
      <c r="F32">
        <v>2</v>
      </c>
      <c r="K32" s="113"/>
    </row>
    <row r="33" spans="1:6" ht="15.75" x14ac:dyDescent="0.25">
      <c r="A33">
        <v>32</v>
      </c>
      <c r="B33" s="104" t="s">
        <v>283</v>
      </c>
      <c r="C33" s="119" t="s">
        <v>435</v>
      </c>
      <c r="D33">
        <v>3</v>
      </c>
      <c r="E33" t="s">
        <v>497</v>
      </c>
      <c r="F33">
        <v>2</v>
      </c>
    </row>
    <row r="34" spans="1:6" ht="15.75" x14ac:dyDescent="0.25">
      <c r="A34">
        <v>33</v>
      </c>
      <c r="B34" s="104" t="s">
        <v>265</v>
      </c>
      <c r="C34" s="119" t="s">
        <v>492</v>
      </c>
      <c r="E34" t="s">
        <v>450</v>
      </c>
      <c r="F34">
        <v>2</v>
      </c>
    </row>
    <row r="35" spans="1:6" ht="15.75" x14ac:dyDescent="0.25">
      <c r="A35">
        <v>34</v>
      </c>
      <c r="B35" s="104" t="s">
        <v>284</v>
      </c>
      <c r="C35" s="119" t="s">
        <v>467</v>
      </c>
      <c r="E35" t="s">
        <v>342</v>
      </c>
      <c r="F35">
        <v>2</v>
      </c>
    </row>
    <row r="36" spans="1:6" ht="15.75" x14ac:dyDescent="0.25">
      <c r="A36">
        <v>35</v>
      </c>
      <c r="B36" s="104" t="s">
        <v>285</v>
      </c>
      <c r="C36" s="119" t="s">
        <v>317</v>
      </c>
      <c r="E36" t="s">
        <v>502</v>
      </c>
      <c r="F36">
        <v>2</v>
      </c>
    </row>
    <row r="37" spans="1:6" ht="15.75" x14ac:dyDescent="0.25">
      <c r="A37">
        <v>36</v>
      </c>
      <c r="B37" s="104" t="s">
        <v>286</v>
      </c>
      <c r="C37" s="119" t="s">
        <v>311</v>
      </c>
      <c r="E37" t="s">
        <v>410</v>
      </c>
      <c r="F37">
        <v>2</v>
      </c>
    </row>
    <row r="38" spans="1:6" ht="15.75" x14ac:dyDescent="0.25">
      <c r="A38">
        <v>37</v>
      </c>
      <c r="B38" s="104" t="s">
        <v>287</v>
      </c>
      <c r="C38" s="119" t="s">
        <v>295</v>
      </c>
      <c r="E38" t="s">
        <v>501</v>
      </c>
      <c r="F38">
        <v>2</v>
      </c>
    </row>
    <row r="39" spans="1:6" ht="15.75" x14ac:dyDescent="0.25">
      <c r="A39">
        <v>38</v>
      </c>
      <c r="B39" s="103" t="s">
        <v>288</v>
      </c>
      <c r="C39" s="119" t="s">
        <v>350</v>
      </c>
      <c r="E39" t="s">
        <v>480</v>
      </c>
      <c r="F39">
        <v>2</v>
      </c>
    </row>
    <row r="40" spans="1:6" ht="15.75" x14ac:dyDescent="0.25">
      <c r="A40">
        <v>39</v>
      </c>
      <c r="B40" s="103" t="s">
        <v>289</v>
      </c>
      <c r="C40" s="119" t="s">
        <v>291</v>
      </c>
      <c r="E40" t="s">
        <v>455</v>
      </c>
      <c r="F40">
        <v>2</v>
      </c>
    </row>
    <row r="41" spans="1:6" ht="15.75" x14ac:dyDescent="0.25">
      <c r="A41">
        <v>40</v>
      </c>
      <c r="B41" s="103" t="s">
        <v>290</v>
      </c>
      <c r="C41" s="119" t="s">
        <v>357</v>
      </c>
      <c r="E41" t="s">
        <v>341</v>
      </c>
      <c r="F41">
        <v>2</v>
      </c>
    </row>
    <row r="42" spans="1:6" ht="15.75" x14ac:dyDescent="0.25">
      <c r="A42">
        <v>41</v>
      </c>
      <c r="B42" s="104" t="s">
        <v>291</v>
      </c>
      <c r="C42" s="119" t="s">
        <v>517</v>
      </c>
      <c r="E42" t="s">
        <v>421</v>
      </c>
      <c r="F42">
        <v>1</v>
      </c>
    </row>
    <row r="43" spans="1:6" ht="15.75" x14ac:dyDescent="0.25">
      <c r="A43">
        <v>42</v>
      </c>
      <c r="B43" s="104" t="s">
        <v>292</v>
      </c>
      <c r="C43" s="119" t="s">
        <v>414</v>
      </c>
      <c r="E43" t="s">
        <v>522</v>
      </c>
      <c r="F43">
        <v>1</v>
      </c>
    </row>
    <row r="44" spans="1:6" ht="15.75" x14ac:dyDescent="0.25">
      <c r="A44">
        <v>43</v>
      </c>
      <c r="B44" s="104" t="s">
        <v>293</v>
      </c>
      <c r="C44" s="119" t="s">
        <v>458</v>
      </c>
      <c r="E44" t="s">
        <v>302</v>
      </c>
      <c r="F44">
        <v>1</v>
      </c>
    </row>
    <row r="45" spans="1:6" ht="15.75" x14ac:dyDescent="0.25">
      <c r="A45">
        <v>44</v>
      </c>
      <c r="B45" s="103" t="s">
        <v>294</v>
      </c>
      <c r="C45" s="119" t="s">
        <v>455</v>
      </c>
      <c r="E45" t="s">
        <v>437</v>
      </c>
      <c r="F45">
        <v>1</v>
      </c>
    </row>
    <row r="46" spans="1:6" ht="15.75" x14ac:dyDescent="0.25">
      <c r="A46">
        <v>45</v>
      </c>
      <c r="B46" s="104" t="s">
        <v>295</v>
      </c>
      <c r="C46" s="119" t="s">
        <v>455</v>
      </c>
      <c r="E46" t="s">
        <v>438</v>
      </c>
      <c r="F46">
        <v>1</v>
      </c>
    </row>
    <row r="47" spans="1:6" ht="15.75" x14ac:dyDescent="0.25">
      <c r="A47">
        <v>46</v>
      </c>
      <c r="B47" s="103" t="s">
        <v>296</v>
      </c>
      <c r="C47" s="119" t="s">
        <v>445</v>
      </c>
      <c r="E47" t="s">
        <v>439</v>
      </c>
      <c r="F47">
        <v>1</v>
      </c>
    </row>
    <row r="48" spans="1:6" ht="15.75" x14ac:dyDescent="0.25">
      <c r="A48">
        <v>47</v>
      </c>
      <c r="B48" s="103" t="s">
        <v>297</v>
      </c>
      <c r="C48" s="119" t="s">
        <v>501</v>
      </c>
      <c r="E48" t="s">
        <v>375</v>
      </c>
      <c r="F48">
        <v>1</v>
      </c>
    </row>
    <row r="49" spans="1:6" ht="15.75" x14ac:dyDescent="0.25">
      <c r="A49">
        <v>48</v>
      </c>
      <c r="B49" s="104" t="s">
        <v>298</v>
      </c>
      <c r="C49" s="119" t="s">
        <v>501</v>
      </c>
      <c r="E49" t="s">
        <v>322</v>
      </c>
      <c r="F49">
        <v>1</v>
      </c>
    </row>
    <row r="50" spans="1:6" ht="15.75" x14ac:dyDescent="0.25">
      <c r="A50">
        <v>49</v>
      </c>
      <c r="B50" s="104" t="s">
        <v>299</v>
      </c>
      <c r="C50" s="119" t="s">
        <v>335</v>
      </c>
      <c r="E50" t="s">
        <v>396</v>
      </c>
      <c r="F50">
        <v>1</v>
      </c>
    </row>
    <row r="51" spans="1:6" ht="15.75" x14ac:dyDescent="0.25">
      <c r="A51">
        <v>50</v>
      </c>
      <c r="B51" s="104" t="s">
        <v>300</v>
      </c>
      <c r="C51" s="119" t="s">
        <v>489</v>
      </c>
      <c r="E51" t="s">
        <v>531</v>
      </c>
      <c r="F51">
        <v>1</v>
      </c>
    </row>
    <row r="52" spans="1:6" ht="15.75" x14ac:dyDescent="0.25">
      <c r="A52">
        <v>51</v>
      </c>
      <c r="B52" s="103" t="s">
        <v>301</v>
      </c>
      <c r="C52" s="119" t="s">
        <v>389</v>
      </c>
      <c r="E52" t="s">
        <v>506</v>
      </c>
      <c r="F52">
        <v>1</v>
      </c>
    </row>
    <row r="53" spans="1:6" ht="15.75" x14ac:dyDescent="0.25">
      <c r="A53">
        <v>52</v>
      </c>
      <c r="B53" s="103" t="s">
        <v>261</v>
      </c>
      <c r="C53" s="119" t="s">
        <v>400</v>
      </c>
      <c r="E53" t="s">
        <v>401</v>
      </c>
      <c r="F53">
        <v>1</v>
      </c>
    </row>
    <row r="54" spans="1:6" ht="15.75" x14ac:dyDescent="0.25">
      <c r="A54">
        <v>53</v>
      </c>
      <c r="B54" s="103" t="s">
        <v>262</v>
      </c>
      <c r="C54" s="119" t="s">
        <v>367</v>
      </c>
      <c r="E54" t="s">
        <v>521</v>
      </c>
      <c r="F54">
        <v>1</v>
      </c>
    </row>
    <row r="55" spans="1:6" ht="15.75" x14ac:dyDescent="0.25">
      <c r="A55">
        <v>54</v>
      </c>
      <c r="B55" s="103" t="s">
        <v>263</v>
      </c>
      <c r="C55" s="119" t="s">
        <v>328</v>
      </c>
      <c r="E55" t="s">
        <v>393</v>
      </c>
      <c r="F55">
        <v>1</v>
      </c>
    </row>
    <row r="56" spans="1:6" ht="15.75" x14ac:dyDescent="0.25">
      <c r="A56">
        <v>55</v>
      </c>
      <c r="B56" s="103" t="s">
        <v>264</v>
      </c>
      <c r="C56" s="119" t="s">
        <v>512</v>
      </c>
      <c r="E56" t="s">
        <v>444</v>
      </c>
      <c r="F56">
        <v>1</v>
      </c>
    </row>
    <row r="57" spans="1:6" ht="15.75" x14ac:dyDescent="0.25">
      <c r="A57">
        <v>56</v>
      </c>
      <c r="B57" s="104" t="s">
        <v>265</v>
      </c>
      <c r="C57" s="119" t="s">
        <v>358</v>
      </c>
      <c r="E57" t="s">
        <v>532</v>
      </c>
      <c r="F57">
        <v>1</v>
      </c>
    </row>
    <row r="58" spans="1:6" ht="15.75" x14ac:dyDescent="0.25">
      <c r="A58">
        <v>57</v>
      </c>
      <c r="B58" s="104" t="s">
        <v>267</v>
      </c>
      <c r="C58" s="119" t="s">
        <v>510</v>
      </c>
      <c r="E58" t="s">
        <v>484</v>
      </c>
      <c r="F58">
        <v>1</v>
      </c>
    </row>
    <row r="59" spans="1:6" ht="15.75" x14ac:dyDescent="0.25">
      <c r="A59">
        <v>58</v>
      </c>
      <c r="B59" s="104" t="s">
        <v>302</v>
      </c>
      <c r="C59" s="119" t="s">
        <v>402</v>
      </c>
      <c r="D59">
        <v>1</v>
      </c>
      <c r="E59" t="s">
        <v>465</v>
      </c>
      <c r="F59">
        <v>1</v>
      </c>
    </row>
    <row r="60" spans="1:6" ht="15.75" x14ac:dyDescent="0.25">
      <c r="A60">
        <v>59</v>
      </c>
      <c r="B60" s="104" t="s">
        <v>303</v>
      </c>
      <c r="C60" s="119" t="s">
        <v>303</v>
      </c>
      <c r="D60">
        <v>2</v>
      </c>
      <c r="E60" t="s">
        <v>457</v>
      </c>
      <c r="F60">
        <v>1</v>
      </c>
    </row>
    <row r="61" spans="1:6" ht="15.75" x14ac:dyDescent="0.25">
      <c r="A61">
        <v>60</v>
      </c>
      <c r="B61" s="103" t="s">
        <v>304</v>
      </c>
      <c r="C61" s="119" t="s">
        <v>266</v>
      </c>
      <c r="D61">
        <v>3</v>
      </c>
      <c r="E61" t="s">
        <v>388</v>
      </c>
      <c r="F61">
        <v>1</v>
      </c>
    </row>
    <row r="62" spans="1:6" ht="15.75" x14ac:dyDescent="0.25">
      <c r="A62">
        <v>61</v>
      </c>
      <c r="B62" s="103" t="s">
        <v>305</v>
      </c>
      <c r="C62" s="119" t="s">
        <v>266</v>
      </c>
      <c r="D62">
        <v>4</v>
      </c>
      <c r="E62" t="s">
        <v>412</v>
      </c>
      <c r="F62">
        <v>1</v>
      </c>
    </row>
    <row r="63" spans="1:6" ht="15.75" x14ac:dyDescent="0.25">
      <c r="A63">
        <v>62</v>
      </c>
      <c r="B63" s="103" t="s">
        <v>306</v>
      </c>
      <c r="C63" s="119" t="s">
        <v>266</v>
      </c>
      <c r="D63">
        <v>5</v>
      </c>
      <c r="E63" t="s">
        <v>354</v>
      </c>
      <c r="F63">
        <v>1</v>
      </c>
    </row>
    <row r="64" spans="1:6" ht="15.75" x14ac:dyDescent="0.25">
      <c r="A64">
        <v>63</v>
      </c>
      <c r="B64" s="103" t="s">
        <v>307</v>
      </c>
      <c r="C64" s="119" t="s">
        <v>266</v>
      </c>
      <c r="D64">
        <v>6</v>
      </c>
      <c r="E64" t="s">
        <v>436</v>
      </c>
      <c r="F64">
        <v>1</v>
      </c>
    </row>
    <row r="65" spans="1:6" ht="15.75" x14ac:dyDescent="0.25">
      <c r="A65">
        <v>64</v>
      </c>
      <c r="B65" s="103" t="s">
        <v>308</v>
      </c>
      <c r="C65" s="119" t="s">
        <v>266</v>
      </c>
      <c r="D65">
        <v>7</v>
      </c>
      <c r="E65" t="s">
        <v>368</v>
      </c>
      <c r="F65">
        <v>1</v>
      </c>
    </row>
    <row r="66" spans="1:6" ht="15.75" x14ac:dyDescent="0.25">
      <c r="A66">
        <v>65</v>
      </c>
      <c r="B66" s="104" t="s">
        <v>265</v>
      </c>
      <c r="C66" s="119" t="s">
        <v>266</v>
      </c>
      <c r="D66">
        <v>8</v>
      </c>
      <c r="E66" t="s">
        <v>299</v>
      </c>
      <c r="F66">
        <v>1</v>
      </c>
    </row>
    <row r="67" spans="1:6" ht="15.75" x14ac:dyDescent="0.25">
      <c r="A67">
        <v>66</v>
      </c>
      <c r="B67" s="104" t="s">
        <v>274</v>
      </c>
      <c r="C67" s="119" t="s">
        <v>266</v>
      </c>
      <c r="D67">
        <v>9</v>
      </c>
      <c r="E67" t="s">
        <v>256</v>
      </c>
      <c r="F67">
        <v>1</v>
      </c>
    </row>
    <row r="68" spans="1:6" ht="15.75" x14ac:dyDescent="0.25">
      <c r="A68">
        <v>67</v>
      </c>
      <c r="B68" s="104" t="s">
        <v>309</v>
      </c>
      <c r="C68" s="119" t="s">
        <v>266</v>
      </c>
      <c r="D68">
        <v>10</v>
      </c>
      <c r="E68" t="s">
        <v>523</v>
      </c>
      <c r="F68">
        <v>1</v>
      </c>
    </row>
    <row r="69" spans="1:6" ht="15.75" x14ac:dyDescent="0.25">
      <c r="A69">
        <v>68</v>
      </c>
      <c r="B69" s="104" t="s">
        <v>275</v>
      </c>
      <c r="C69" s="119" t="s">
        <v>266</v>
      </c>
      <c r="D69">
        <v>11</v>
      </c>
      <c r="E69" t="s">
        <v>327</v>
      </c>
      <c r="F69">
        <v>1</v>
      </c>
    </row>
    <row r="70" spans="1:6" ht="15.75" x14ac:dyDescent="0.25">
      <c r="A70">
        <v>69</v>
      </c>
      <c r="B70" s="104" t="s">
        <v>276</v>
      </c>
      <c r="C70" s="119" t="s">
        <v>305</v>
      </c>
      <c r="E70" t="s">
        <v>364</v>
      </c>
      <c r="F70">
        <v>1</v>
      </c>
    </row>
    <row r="71" spans="1:6" ht="15.75" x14ac:dyDescent="0.25">
      <c r="A71">
        <v>70</v>
      </c>
      <c r="B71" s="103" t="s">
        <v>277</v>
      </c>
      <c r="C71" s="119" t="s">
        <v>332</v>
      </c>
      <c r="E71" t="s">
        <v>505</v>
      </c>
      <c r="F71">
        <v>1</v>
      </c>
    </row>
    <row r="72" spans="1:6" ht="15.75" x14ac:dyDescent="0.25">
      <c r="A72">
        <v>71</v>
      </c>
      <c r="B72" s="103" t="s">
        <v>278</v>
      </c>
      <c r="C72" s="119" t="s">
        <v>284</v>
      </c>
      <c r="D72">
        <v>1</v>
      </c>
      <c r="E72" t="s">
        <v>429</v>
      </c>
      <c r="F72">
        <v>1</v>
      </c>
    </row>
    <row r="73" spans="1:6" ht="15.75" x14ac:dyDescent="0.25">
      <c r="A73">
        <v>72</v>
      </c>
      <c r="B73" s="103" t="s">
        <v>279</v>
      </c>
      <c r="C73" s="119" t="s">
        <v>284</v>
      </c>
      <c r="D73">
        <v>2</v>
      </c>
      <c r="E73" t="s">
        <v>520</v>
      </c>
      <c r="F73">
        <v>1</v>
      </c>
    </row>
    <row r="74" spans="1:6" ht="15.75" x14ac:dyDescent="0.25">
      <c r="A74">
        <v>73</v>
      </c>
      <c r="B74" s="103" t="s">
        <v>310</v>
      </c>
      <c r="C74" s="119" t="s">
        <v>284</v>
      </c>
      <c r="D74">
        <v>3</v>
      </c>
      <c r="E74" t="s">
        <v>257</v>
      </c>
      <c r="F74">
        <v>1</v>
      </c>
    </row>
    <row r="75" spans="1:6" ht="15.75" x14ac:dyDescent="0.25">
      <c r="A75">
        <v>74</v>
      </c>
      <c r="B75" s="103" t="s">
        <v>311</v>
      </c>
      <c r="C75" s="119" t="s">
        <v>284</v>
      </c>
      <c r="D75">
        <v>4</v>
      </c>
      <c r="E75" t="s">
        <v>511</v>
      </c>
      <c r="F75">
        <v>1</v>
      </c>
    </row>
    <row r="76" spans="1:6" ht="15.75" x14ac:dyDescent="0.25">
      <c r="A76">
        <v>75</v>
      </c>
      <c r="B76" s="104" t="s">
        <v>312</v>
      </c>
      <c r="C76" s="119" t="s">
        <v>284</v>
      </c>
      <c r="D76">
        <v>5</v>
      </c>
      <c r="E76" t="s">
        <v>408</v>
      </c>
      <c r="F76">
        <v>1</v>
      </c>
    </row>
    <row r="77" spans="1:6" ht="15.75" x14ac:dyDescent="0.25">
      <c r="A77">
        <v>76</v>
      </c>
      <c r="B77" s="104" t="s">
        <v>284</v>
      </c>
      <c r="C77" s="119" t="s">
        <v>284</v>
      </c>
      <c r="D77">
        <v>6</v>
      </c>
      <c r="E77" t="s">
        <v>513</v>
      </c>
      <c r="F77">
        <v>1</v>
      </c>
    </row>
    <row r="78" spans="1:6" ht="15.75" x14ac:dyDescent="0.25">
      <c r="A78">
        <v>77</v>
      </c>
      <c r="B78" s="104" t="s">
        <v>285</v>
      </c>
      <c r="C78" s="119" t="s">
        <v>284</v>
      </c>
      <c r="D78">
        <v>7</v>
      </c>
      <c r="E78" t="s">
        <v>459</v>
      </c>
      <c r="F78">
        <v>1</v>
      </c>
    </row>
    <row r="79" spans="1:6" ht="15.75" x14ac:dyDescent="0.25">
      <c r="A79">
        <v>78</v>
      </c>
      <c r="B79" s="104" t="s">
        <v>313</v>
      </c>
      <c r="C79" s="119" t="s">
        <v>284</v>
      </c>
      <c r="D79">
        <v>8</v>
      </c>
      <c r="E79" t="s">
        <v>345</v>
      </c>
      <c r="F79">
        <v>1</v>
      </c>
    </row>
    <row r="80" spans="1:6" ht="15.75" x14ac:dyDescent="0.25">
      <c r="A80">
        <v>79</v>
      </c>
      <c r="B80" s="104" t="s">
        <v>287</v>
      </c>
      <c r="C80" s="119" t="s">
        <v>284</v>
      </c>
      <c r="D80">
        <v>9</v>
      </c>
      <c r="E80" t="s">
        <v>372</v>
      </c>
      <c r="F80">
        <v>1</v>
      </c>
    </row>
    <row r="81" spans="1:6" ht="15.75" x14ac:dyDescent="0.25">
      <c r="A81">
        <v>80</v>
      </c>
      <c r="B81" s="104" t="s">
        <v>315</v>
      </c>
      <c r="C81" s="119" t="s">
        <v>284</v>
      </c>
      <c r="D81">
        <v>10</v>
      </c>
      <c r="E81" t="s">
        <v>468</v>
      </c>
      <c r="F81">
        <v>1</v>
      </c>
    </row>
    <row r="82" spans="1:6" ht="15.75" x14ac:dyDescent="0.25">
      <c r="A82">
        <v>81</v>
      </c>
      <c r="B82" s="103" t="s">
        <v>261</v>
      </c>
      <c r="C82" s="119" t="s">
        <v>279</v>
      </c>
      <c r="D82">
        <v>1</v>
      </c>
      <c r="E82" t="s">
        <v>268</v>
      </c>
      <c r="F82">
        <v>1</v>
      </c>
    </row>
    <row r="83" spans="1:6" ht="15.75" x14ac:dyDescent="0.25">
      <c r="A83">
        <v>82</v>
      </c>
      <c r="B83" s="103" t="s">
        <v>316</v>
      </c>
      <c r="C83" s="119" t="s">
        <v>279</v>
      </c>
      <c r="D83">
        <v>2</v>
      </c>
      <c r="E83" t="s">
        <v>271</v>
      </c>
      <c r="F83">
        <v>1</v>
      </c>
    </row>
    <row r="84" spans="1:6" ht="15.75" x14ac:dyDescent="0.25">
      <c r="A84">
        <v>83</v>
      </c>
      <c r="B84" s="103" t="s">
        <v>317</v>
      </c>
      <c r="C84" s="119" t="s">
        <v>279</v>
      </c>
      <c r="D84">
        <v>3</v>
      </c>
      <c r="E84" t="s">
        <v>478</v>
      </c>
      <c r="F84">
        <v>1</v>
      </c>
    </row>
    <row r="85" spans="1:6" ht="15.75" x14ac:dyDescent="0.25">
      <c r="A85">
        <v>84</v>
      </c>
      <c r="B85" s="103" t="s">
        <v>318</v>
      </c>
      <c r="C85" s="119" t="s">
        <v>279</v>
      </c>
      <c r="D85">
        <v>4</v>
      </c>
      <c r="E85" t="s">
        <v>348</v>
      </c>
      <c r="F85">
        <v>1</v>
      </c>
    </row>
    <row r="86" spans="1:6" ht="15.75" x14ac:dyDescent="0.25">
      <c r="A86">
        <v>85</v>
      </c>
      <c r="B86" s="103" t="s">
        <v>319</v>
      </c>
      <c r="C86" s="119" t="s">
        <v>279</v>
      </c>
      <c r="D86">
        <v>5</v>
      </c>
      <c r="E86" t="s">
        <v>369</v>
      </c>
      <c r="F86">
        <v>1</v>
      </c>
    </row>
    <row r="87" spans="1:6" ht="15.75" x14ac:dyDescent="0.25">
      <c r="A87">
        <v>86</v>
      </c>
      <c r="B87" s="103" t="s">
        <v>320</v>
      </c>
      <c r="C87" s="119" t="s">
        <v>279</v>
      </c>
      <c r="D87">
        <v>6</v>
      </c>
      <c r="E87" t="s">
        <v>467</v>
      </c>
      <c r="F87">
        <v>1</v>
      </c>
    </row>
    <row r="88" spans="1:6" ht="15.75" x14ac:dyDescent="0.25">
      <c r="A88">
        <v>87</v>
      </c>
      <c r="B88" s="103" t="s">
        <v>321</v>
      </c>
      <c r="C88" s="119" t="s">
        <v>279</v>
      </c>
      <c r="D88">
        <v>7</v>
      </c>
      <c r="E88" t="s">
        <v>493</v>
      </c>
      <c r="F88">
        <v>1</v>
      </c>
    </row>
    <row r="89" spans="1:6" ht="15.75" x14ac:dyDescent="0.25">
      <c r="A89">
        <v>88</v>
      </c>
      <c r="B89" s="103" t="s">
        <v>322</v>
      </c>
      <c r="C89" s="119" t="s">
        <v>279</v>
      </c>
      <c r="D89">
        <v>8</v>
      </c>
      <c r="E89" t="s">
        <v>255</v>
      </c>
      <c r="F89">
        <v>1</v>
      </c>
    </row>
    <row r="90" spans="1:6" ht="15.75" x14ac:dyDescent="0.25">
      <c r="A90">
        <v>89</v>
      </c>
      <c r="B90" s="103" t="s">
        <v>323</v>
      </c>
      <c r="C90" s="119" t="s">
        <v>279</v>
      </c>
      <c r="D90">
        <v>9</v>
      </c>
      <c r="E90" t="s">
        <v>416</v>
      </c>
      <c r="F90">
        <v>1</v>
      </c>
    </row>
    <row r="91" spans="1:6" ht="15.75" x14ac:dyDescent="0.25">
      <c r="A91">
        <v>90</v>
      </c>
      <c r="B91" s="106" t="s">
        <v>324</v>
      </c>
      <c r="C91" s="119" t="s">
        <v>279</v>
      </c>
      <c r="D91">
        <v>10</v>
      </c>
      <c r="E91" t="s">
        <v>514</v>
      </c>
      <c r="F91">
        <v>1</v>
      </c>
    </row>
    <row r="92" spans="1:6" ht="15.75" x14ac:dyDescent="0.25">
      <c r="A92">
        <v>91</v>
      </c>
      <c r="B92" s="103" t="s">
        <v>325</v>
      </c>
      <c r="C92" s="119" t="s">
        <v>263</v>
      </c>
      <c r="E92" t="s">
        <v>387</v>
      </c>
      <c r="F92">
        <v>1</v>
      </c>
    </row>
    <row r="93" spans="1:6" ht="15.75" x14ac:dyDescent="0.25">
      <c r="A93">
        <v>92</v>
      </c>
      <c r="B93" s="104" t="s">
        <v>326</v>
      </c>
      <c r="C93" s="119" t="s">
        <v>263</v>
      </c>
      <c r="E93" t="s">
        <v>479</v>
      </c>
      <c r="F93">
        <v>1</v>
      </c>
    </row>
    <row r="94" spans="1:6" ht="15.75" x14ac:dyDescent="0.25">
      <c r="A94">
        <v>93</v>
      </c>
      <c r="B94" s="104" t="s">
        <v>327</v>
      </c>
      <c r="C94" s="119" t="s">
        <v>263</v>
      </c>
      <c r="E94" t="s">
        <v>486</v>
      </c>
      <c r="F94">
        <v>1</v>
      </c>
    </row>
    <row r="95" spans="1:6" ht="15.75" x14ac:dyDescent="0.25">
      <c r="A95">
        <v>94</v>
      </c>
      <c r="B95" s="104" t="s">
        <v>328</v>
      </c>
      <c r="C95" s="119" t="s">
        <v>263</v>
      </c>
      <c r="E95" t="s">
        <v>473</v>
      </c>
      <c r="F95">
        <v>1</v>
      </c>
    </row>
    <row r="96" spans="1:6" ht="15.75" x14ac:dyDescent="0.25">
      <c r="A96">
        <v>95</v>
      </c>
      <c r="B96" s="104" t="s">
        <v>265</v>
      </c>
      <c r="C96" s="119" t="s">
        <v>289</v>
      </c>
      <c r="E96" t="s">
        <v>487</v>
      </c>
      <c r="F96">
        <v>1</v>
      </c>
    </row>
    <row r="97" spans="1:6" ht="15.75" x14ac:dyDescent="0.25">
      <c r="A97">
        <v>96</v>
      </c>
      <c r="B97" s="104" t="s">
        <v>267</v>
      </c>
      <c r="C97" s="119" t="s">
        <v>316</v>
      </c>
      <c r="E97" t="s">
        <v>347</v>
      </c>
      <c r="F97">
        <v>1</v>
      </c>
    </row>
    <row r="98" spans="1:6" ht="15.75" x14ac:dyDescent="0.25">
      <c r="A98">
        <v>97</v>
      </c>
      <c r="B98" s="104" t="s">
        <v>266</v>
      </c>
      <c r="C98" s="119" t="s">
        <v>419</v>
      </c>
      <c r="E98" t="s">
        <v>509</v>
      </c>
      <c r="F98">
        <v>1</v>
      </c>
    </row>
    <row r="99" spans="1:6" ht="15.75" x14ac:dyDescent="0.25">
      <c r="A99">
        <v>98</v>
      </c>
      <c r="B99" s="104" t="s">
        <v>329</v>
      </c>
      <c r="C99" s="119" t="s">
        <v>491</v>
      </c>
      <c r="E99" t="s">
        <v>456</v>
      </c>
      <c r="F99">
        <v>1</v>
      </c>
    </row>
    <row r="100" spans="1:6" ht="15.75" x14ac:dyDescent="0.25">
      <c r="A100">
        <v>99</v>
      </c>
      <c r="B100" s="103" t="s">
        <v>330</v>
      </c>
      <c r="C100" s="119" t="s">
        <v>481</v>
      </c>
      <c r="E100" t="s">
        <v>533</v>
      </c>
      <c r="F100">
        <v>1</v>
      </c>
    </row>
    <row r="101" spans="1:6" ht="15.75" x14ac:dyDescent="0.25">
      <c r="A101">
        <v>100</v>
      </c>
      <c r="B101" s="103" t="s">
        <v>323</v>
      </c>
      <c r="C101" s="119" t="s">
        <v>391</v>
      </c>
      <c r="E101" t="s">
        <v>319</v>
      </c>
      <c r="F101">
        <v>1</v>
      </c>
    </row>
    <row r="102" spans="1:6" ht="15.75" x14ac:dyDescent="0.25">
      <c r="A102">
        <v>101</v>
      </c>
      <c r="B102" s="103" t="s">
        <v>331</v>
      </c>
      <c r="C102" s="119" t="s">
        <v>293</v>
      </c>
      <c r="E102" t="s">
        <v>446</v>
      </c>
      <c r="F102">
        <v>1</v>
      </c>
    </row>
    <row r="103" spans="1:6" ht="15.75" x14ac:dyDescent="0.25">
      <c r="A103">
        <v>102</v>
      </c>
      <c r="B103" s="103" t="s">
        <v>332</v>
      </c>
      <c r="C103" s="119" t="s">
        <v>488</v>
      </c>
      <c r="E103" t="s">
        <v>470</v>
      </c>
      <c r="F103">
        <v>1</v>
      </c>
    </row>
    <row r="104" spans="1:6" ht="15.75" x14ac:dyDescent="0.25">
      <c r="A104">
        <v>103</v>
      </c>
      <c r="B104" s="103" t="s">
        <v>333</v>
      </c>
      <c r="C104" s="119" t="s">
        <v>385</v>
      </c>
      <c r="E104" t="s">
        <v>518</v>
      </c>
      <c r="F104">
        <v>1</v>
      </c>
    </row>
    <row r="105" spans="1:6" ht="15.75" x14ac:dyDescent="0.25">
      <c r="A105">
        <v>104</v>
      </c>
      <c r="B105" s="103" t="s">
        <v>334</v>
      </c>
      <c r="C105" s="119" t="s">
        <v>460</v>
      </c>
      <c r="E105" t="s">
        <v>298</v>
      </c>
      <c r="F105">
        <v>1</v>
      </c>
    </row>
    <row r="106" spans="1:6" ht="15.75" x14ac:dyDescent="0.25">
      <c r="A106">
        <v>105</v>
      </c>
      <c r="B106" s="103" t="s">
        <v>335</v>
      </c>
      <c r="C106" s="119" t="s">
        <v>427</v>
      </c>
      <c r="E106" t="s">
        <v>407</v>
      </c>
      <c r="F106">
        <v>1</v>
      </c>
    </row>
    <row r="107" spans="1:6" ht="15.75" x14ac:dyDescent="0.25">
      <c r="A107">
        <v>106</v>
      </c>
      <c r="B107" s="103" t="s">
        <v>336</v>
      </c>
      <c r="C107" s="119" t="s">
        <v>490</v>
      </c>
      <c r="E107" t="s">
        <v>346</v>
      </c>
      <c r="F107">
        <v>1</v>
      </c>
    </row>
    <row r="108" spans="1:6" ht="15.75" x14ac:dyDescent="0.25">
      <c r="A108">
        <v>107</v>
      </c>
      <c r="B108" s="103" t="s">
        <v>337</v>
      </c>
      <c r="C108" s="119" t="s">
        <v>336</v>
      </c>
      <c r="E108" t="s">
        <v>382</v>
      </c>
      <c r="F108">
        <v>1</v>
      </c>
    </row>
    <row r="109" spans="1:6" ht="15.75" x14ac:dyDescent="0.25">
      <c r="A109">
        <v>108</v>
      </c>
      <c r="B109" s="103" t="s">
        <v>338</v>
      </c>
      <c r="C109" s="119" t="s">
        <v>356</v>
      </c>
      <c r="E109" t="s">
        <v>258</v>
      </c>
      <c r="F109">
        <v>1</v>
      </c>
    </row>
    <row r="110" spans="1:6" ht="15.75" x14ac:dyDescent="0.25">
      <c r="A110">
        <v>109</v>
      </c>
      <c r="B110" s="103" t="s">
        <v>339</v>
      </c>
      <c r="C110" s="119" t="s">
        <v>329</v>
      </c>
      <c r="D110">
        <v>1</v>
      </c>
      <c r="E110" t="s">
        <v>534</v>
      </c>
      <c r="F110">
        <v>1</v>
      </c>
    </row>
    <row r="111" spans="1:6" ht="15.75" x14ac:dyDescent="0.25">
      <c r="A111">
        <v>110</v>
      </c>
      <c r="B111" s="104" t="s">
        <v>265</v>
      </c>
      <c r="C111" s="119" t="s">
        <v>329</v>
      </c>
      <c r="D111">
        <v>2</v>
      </c>
      <c r="E111" t="s">
        <v>310</v>
      </c>
      <c r="F111">
        <v>1</v>
      </c>
    </row>
    <row r="112" spans="1:6" ht="15.75" x14ac:dyDescent="0.25">
      <c r="A112">
        <v>111</v>
      </c>
      <c r="B112" s="104" t="s">
        <v>274</v>
      </c>
      <c r="C112" s="119" t="s">
        <v>329</v>
      </c>
      <c r="D112">
        <v>3</v>
      </c>
      <c r="E112" t="s">
        <v>535</v>
      </c>
      <c r="F112">
        <v>1</v>
      </c>
    </row>
    <row r="113" spans="1:6" ht="15.75" x14ac:dyDescent="0.25">
      <c r="A113">
        <v>112</v>
      </c>
      <c r="B113" s="104" t="s">
        <v>275</v>
      </c>
      <c r="C113" s="119" t="s">
        <v>329</v>
      </c>
      <c r="D113">
        <v>4</v>
      </c>
      <c r="E113" t="s">
        <v>296</v>
      </c>
      <c r="F113">
        <v>1</v>
      </c>
    </row>
    <row r="114" spans="1:6" ht="15.75" x14ac:dyDescent="0.25">
      <c r="A114">
        <v>113</v>
      </c>
      <c r="B114" s="104" t="s">
        <v>276</v>
      </c>
      <c r="C114" s="119" t="s">
        <v>329</v>
      </c>
      <c r="D114">
        <v>5</v>
      </c>
      <c r="E114" t="s">
        <v>472</v>
      </c>
      <c r="F114">
        <v>1</v>
      </c>
    </row>
    <row r="115" spans="1:6" ht="15.75" x14ac:dyDescent="0.25">
      <c r="A115">
        <v>114</v>
      </c>
      <c r="B115" s="104" t="s">
        <v>340</v>
      </c>
      <c r="C115" s="119" t="s">
        <v>329</v>
      </c>
      <c r="D115">
        <v>6</v>
      </c>
      <c r="E115" t="s">
        <v>330</v>
      </c>
      <c r="F115">
        <v>1</v>
      </c>
    </row>
    <row r="116" spans="1:6" ht="15.75" x14ac:dyDescent="0.25">
      <c r="A116">
        <v>115</v>
      </c>
      <c r="B116" s="103" t="s">
        <v>277</v>
      </c>
      <c r="C116" s="119" t="s">
        <v>329</v>
      </c>
      <c r="D116">
        <v>7</v>
      </c>
      <c r="E116" t="s">
        <v>461</v>
      </c>
      <c r="F116">
        <v>1</v>
      </c>
    </row>
    <row r="117" spans="1:6" ht="15.75" x14ac:dyDescent="0.25">
      <c r="A117">
        <v>116</v>
      </c>
      <c r="B117" s="103" t="s">
        <v>278</v>
      </c>
      <c r="C117" s="124" t="s">
        <v>537</v>
      </c>
      <c r="D117">
        <v>8</v>
      </c>
      <c r="E117" t="s">
        <v>415</v>
      </c>
      <c r="F117">
        <v>1</v>
      </c>
    </row>
    <row r="118" spans="1:6" ht="15.75" x14ac:dyDescent="0.25">
      <c r="A118">
        <v>117</v>
      </c>
      <c r="B118" s="103" t="s">
        <v>279</v>
      </c>
      <c r="C118" s="119" t="s">
        <v>379</v>
      </c>
      <c r="E118" t="s">
        <v>294</v>
      </c>
      <c r="F118">
        <v>1</v>
      </c>
    </row>
    <row r="119" spans="1:6" ht="15.75" x14ac:dyDescent="0.25">
      <c r="A119">
        <v>118</v>
      </c>
      <c r="B119" s="103" t="s">
        <v>341</v>
      </c>
      <c r="C119" s="119" t="s">
        <v>418</v>
      </c>
      <c r="E119" t="s">
        <v>309</v>
      </c>
      <c r="F119">
        <v>1</v>
      </c>
    </row>
    <row r="120" spans="1:6" ht="15.75" x14ac:dyDescent="0.25">
      <c r="A120">
        <v>119</v>
      </c>
      <c r="B120" s="104" t="s">
        <v>312</v>
      </c>
      <c r="C120" s="119" t="s">
        <v>452</v>
      </c>
      <c r="E120" t="s">
        <v>344</v>
      </c>
      <c r="F120">
        <v>1</v>
      </c>
    </row>
    <row r="121" spans="1:6" ht="15.75" x14ac:dyDescent="0.25">
      <c r="A121">
        <v>120</v>
      </c>
      <c r="B121" s="104" t="s">
        <v>284</v>
      </c>
      <c r="C121" s="125" t="s">
        <v>503</v>
      </c>
      <c r="E121" t="s">
        <v>282</v>
      </c>
      <c r="F121">
        <v>1</v>
      </c>
    </row>
    <row r="122" spans="1:6" ht="15.75" x14ac:dyDescent="0.25">
      <c r="A122">
        <v>121</v>
      </c>
      <c r="B122" s="104" t="s">
        <v>285</v>
      </c>
      <c r="C122" s="119" t="s">
        <v>449</v>
      </c>
      <c r="E122" t="s">
        <v>259</v>
      </c>
      <c r="F122">
        <v>1</v>
      </c>
    </row>
    <row r="123" spans="1:6" ht="15.75" x14ac:dyDescent="0.25">
      <c r="A123">
        <v>122</v>
      </c>
      <c r="B123" s="104" t="s">
        <v>313</v>
      </c>
      <c r="C123" s="119" t="s">
        <v>340</v>
      </c>
      <c r="E123" t="s">
        <v>395</v>
      </c>
      <c r="F123">
        <v>1</v>
      </c>
    </row>
    <row r="124" spans="1:6" ht="15.75" x14ac:dyDescent="0.25">
      <c r="A124">
        <v>123</v>
      </c>
      <c r="B124" s="104" t="s">
        <v>287</v>
      </c>
      <c r="C124" s="119" t="s">
        <v>392</v>
      </c>
      <c r="E124" t="s">
        <v>366</v>
      </c>
      <c r="F124">
        <v>1</v>
      </c>
    </row>
    <row r="125" spans="1:6" ht="15.75" x14ac:dyDescent="0.25">
      <c r="A125">
        <v>124</v>
      </c>
      <c r="B125" s="104" t="s">
        <v>342</v>
      </c>
      <c r="C125" s="119" t="s">
        <v>392</v>
      </c>
      <c r="E125" t="s">
        <v>453</v>
      </c>
      <c r="F125">
        <v>1</v>
      </c>
    </row>
    <row r="126" spans="1:6" ht="15.75" x14ac:dyDescent="0.25">
      <c r="A126">
        <v>125</v>
      </c>
      <c r="B126" s="104" t="s">
        <v>343</v>
      </c>
      <c r="C126" s="119" t="s">
        <v>404</v>
      </c>
      <c r="E126" t="s">
        <v>359</v>
      </c>
      <c r="F126">
        <v>1</v>
      </c>
    </row>
    <row r="127" spans="1:6" ht="15.75" x14ac:dyDescent="0.25">
      <c r="A127">
        <v>126</v>
      </c>
      <c r="B127" s="104" t="s">
        <v>344</v>
      </c>
      <c r="C127" s="119" t="s">
        <v>482</v>
      </c>
      <c r="E127" t="s">
        <v>485</v>
      </c>
      <c r="F127">
        <v>1</v>
      </c>
    </row>
    <row r="128" spans="1:6" ht="15.75" x14ac:dyDescent="0.25">
      <c r="A128">
        <v>127</v>
      </c>
      <c r="B128" s="103" t="s">
        <v>345</v>
      </c>
      <c r="C128" s="119" t="s">
        <v>431</v>
      </c>
      <c r="E128" t="s">
        <v>331</v>
      </c>
      <c r="F128">
        <v>1</v>
      </c>
    </row>
    <row r="129" spans="1:6" ht="15.75" x14ac:dyDescent="0.25">
      <c r="A129">
        <v>128</v>
      </c>
      <c r="B129" s="103" t="s">
        <v>346</v>
      </c>
      <c r="C129" s="119" t="s">
        <v>431</v>
      </c>
      <c r="E129" t="s">
        <v>463</v>
      </c>
      <c r="F129">
        <v>1</v>
      </c>
    </row>
    <row r="130" spans="1:6" ht="15.75" x14ac:dyDescent="0.25">
      <c r="A130">
        <v>129</v>
      </c>
      <c r="B130" s="103" t="s">
        <v>348</v>
      </c>
      <c r="C130" s="119" t="s">
        <v>431</v>
      </c>
      <c r="E130" t="s">
        <v>281</v>
      </c>
      <c r="F130">
        <v>1</v>
      </c>
    </row>
    <row r="131" spans="1:6" ht="15.75" x14ac:dyDescent="0.25">
      <c r="A131">
        <v>130</v>
      </c>
      <c r="B131" s="103" t="s">
        <v>347</v>
      </c>
      <c r="C131" s="119" t="s">
        <v>431</v>
      </c>
      <c r="E131" t="s">
        <v>536</v>
      </c>
      <c r="F131">
        <v>1</v>
      </c>
    </row>
    <row r="132" spans="1:6" ht="15.75" x14ac:dyDescent="0.25">
      <c r="A132">
        <v>131</v>
      </c>
      <c r="B132" s="103" t="s">
        <v>349</v>
      </c>
      <c r="C132" s="119" t="s">
        <v>431</v>
      </c>
      <c r="E132" t="s">
        <v>516</v>
      </c>
      <c r="F132">
        <v>1</v>
      </c>
    </row>
    <row r="133" spans="1:6" ht="15.75" x14ac:dyDescent="0.25">
      <c r="A133">
        <v>132</v>
      </c>
      <c r="B133" s="103" t="s">
        <v>350</v>
      </c>
      <c r="C133" s="119" t="s">
        <v>272</v>
      </c>
      <c r="E133" t="s">
        <v>386</v>
      </c>
      <c r="F133">
        <v>1</v>
      </c>
    </row>
    <row r="134" spans="1:6" ht="15.75" x14ac:dyDescent="0.25">
      <c r="A134">
        <v>133</v>
      </c>
      <c r="B134" s="103" t="s">
        <v>351</v>
      </c>
      <c r="C134" s="119" t="s">
        <v>337</v>
      </c>
      <c r="E134" t="s">
        <v>469</v>
      </c>
      <c r="F134">
        <v>1</v>
      </c>
    </row>
    <row r="135" spans="1:6" ht="15.75" x14ac:dyDescent="0.25">
      <c r="A135">
        <v>134</v>
      </c>
      <c r="B135" s="103" t="s">
        <v>352</v>
      </c>
      <c r="C135" s="119" t="s">
        <v>409</v>
      </c>
      <c r="E135" t="s">
        <v>399</v>
      </c>
      <c r="F135">
        <v>1</v>
      </c>
    </row>
    <row r="136" spans="1:6" ht="15.75" x14ac:dyDescent="0.25">
      <c r="A136">
        <v>135</v>
      </c>
      <c r="B136" s="103" t="s">
        <v>353</v>
      </c>
      <c r="C136" s="119" t="s">
        <v>301</v>
      </c>
      <c r="E136" t="s">
        <v>515</v>
      </c>
      <c r="F136">
        <v>1</v>
      </c>
    </row>
    <row r="137" spans="1:6" ht="15.75" x14ac:dyDescent="0.25">
      <c r="A137">
        <v>136</v>
      </c>
      <c r="B137" s="103" t="s">
        <v>354</v>
      </c>
      <c r="C137" s="119" t="s">
        <v>338</v>
      </c>
      <c r="E137" t="s">
        <v>413</v>
      </c>
      <c r="F137">
        <v>1</v>
      </c>
    </row>
    <row r="138" spans="1:6" ht="15.75" x14ac:dyDescent="0.25">
      <c r="A138">
        <v>137</v>
      </c>
      <c r="B138" s="103" t="s">
        <v>355</v>
      </c>
      <c r="C138" s="119" t="s">
        <v>325</v>
      </c>
      <c r="E138" t="s">
        <v>430</v>
      </c>
      <c r="F138">
        <v>1</v>
      </c>
    </row>
    <row r="139" spans="1:6" ht="15.75" x14ac:dyDescent="0.25">
      <c r="A139">
        <v>138</v>
      </c>
      <c r="B139" s="103" t="s">
        <v>356</v>
      </c>
      <c r="C139" s="119" t="s">
        <v>466</v>
      </c>
      <c r="E139" t="s">
        <v>483</v>
      </c>
      <c r="F139">
        <v>1</v>
      </c>
    </row>
    <row r="140" spans="1:6" ht="15.75" x14ac:dyDescent="0.25">
      <c r="A140">
        <v>139</v>
      </c>
      <c r="B140" s="104" t="s">
        <v>357</v>
      </c>
      <c r="C140" s="119" t="s">
        <v>326</v>
      </c>
      <c r="E140" t="s">
        <v>381</v>
      </c>
      <c r="F140">
        <v>1</v>
      </c>
    </row>
    <row r="141" spans="1:6" ht="15.75" x14ac:dyDescent="0.25">
      <c r="A141">
        <v>140</v>
      </c>
      <c r="B141" s="104" t="s">
        <v>358</v>
      </c>
      <c r="C141" s="119" t="s">
        <v>321</v>
      </c>
      <c r="D141">
        <v>1</v>
      </c>
      <c r="E141" t="s">
        <v>390</v>
      </c>
      <c r="F141">
        <v>1</v>
      </c>
    </row>
    <row r="142" spans="1:6" ht="15.75" x14ac:dyDescent="0.25">
      <c r="A142">
        <v>141</v>
      </c>
      <c r="B142" s="104" t="s">
        <v>359</v>
      </c>
      <c r="C142" s="119" t="s">
        <v>321</v>
      </c>
      <c r="D142">
        <v>2</v>
      </c>
      <c r="E142" t="s">
        <v>519</v>
      </c>
      <c r="F142">
        <v>1</v>
      </c>
    </row>
    <row r="143" spans="1:6" ht="15.75" x14ac:dyDescent="0.25">
      <c r="A143">
        <v>142</v>
      </c>
      <c r="B143" s="104" t="s">
        <v>360</v>
      </c>
      <c r="C143" s="119" t="s">
        <v>420</v>
      </c>
      <c r="D143">
        <v>3</v>
      </c>
      <c r="E143" t="s">
        <v>432</v>
      </c>
      <c r="F143">
        <v>1</v>
      </c>
    </row>
    <row r="144" spans="1:6" ht="15.75" x14ac:dyDescent="0.25">
      <c r="A144">
        <v>143</v>
      </c>
      <c r="B144" s="103" t="s">
        <v>361</v>
      </c>
      <c r="C144" s="118" t="s">
        <v>494</v>
      </c>
      <c r="D144">
        <v>4</v>
      </c>
      <c r="E144" t="s">
        <v>353</v>
      </c>
      <c r="F144">
        <v>1</v>
      </c>
    </row>
    <row r="145" spans="1:6" ht="15.75" x14ac:dyDescent="0.25">
      <c r="A145">
        <v>144</v>
      </c>
      <c r="B145" s="103" t="s">
        <v>262</v>
      </c>
      <c r="C145" s="119" t="s">
        <v>380</v>
      </c>
      <c r="D145">
        <v>5</v>
      </c>
      <c r="E145" t="s">
        <v>379</v>
      </c>
      <c r="F145">
        <v>1</v>
      </c>
    </row>
    <row r="146" spans="1:6" ht="15.75" x14ac:dyDescent="0.25">
      <c r="A146">
        <v>145</v>
      </c>
      <c r="B146" s="103" t="s">
        <v>362</v>
      </c>
      <c r="C146" s="119" t="s">
        <v>426</v>
      </c>
      <c r="D146">
        <v>6</v>
      </c>
      <c r="E146" t="s">
        <v>391</v>
      </c>
      <c r="F146">
        <v>1</v>
      </c>
    </row>
    <row r="147" spans="1:6" ht="15.75" x14ac:dyDescent="0.25">
      <c r="A147">
        <v>146</v>
      </c>
      <c r="B147" s="103" t="s">
        <v>264</v>
      </c>
      <c r="C147" s="119" t="s">
        <v>342</v>
      </c>
      <c r="D147">
        <v>7</v>
      </c>
      <c r="E147" t="s">
        <v>293</v>
      </c>
      <c r="F147">
        <v>1</v>
      </c>
    </row>
    <row r="148" spans="1:6" ht="15.75" x14ac:dyDescent="0.25">
      <c r="A148">
        <v>147</v>
      </c>
      <c r="B148" s="103" t="s">
        <v>263</v>
      </c>
      <c r="C148" s="119" t="s">
        <v>342</v>
      </c>
      <c r="D148">
        <v>8</v>
      </c>
      <c r="E148" t="s">
        <v>488</v>
      </c>
      <c r="F148">
        <v>1</v>
      </c>
    </row>
    <row r="149" spans="1:6" ht="15.75" x14ac:dyDescent="0.25">
      <c r="A149">
        <v>148</v>
      </c>
      <c r="B149" s="104" t="s">
        <v>265</v>
      </c>
      <c r="C149" s="119" t="s">
        <v>343</v>
      </c>
      <c r="D149">
        <v>1</v>
      </c>
      <c r="E149" t="s">
        <v>385</v>
      </c>
      <c r="F149">
        <v>1</v>
      </c>
    </row>
    <row r="150" spans="1:6" ht="15.75" x14ac:dyDescent="0.25">
      <c r="A150">
        <v>149</v>
      </c>
      <c r="B150" s="104" t="s">
        <v>267</v>
      </c>
      <c r="C150" s="119" t="s">
        <v>441</v>
      </c>
      <c r="D150">
        <v>2</v>
      </c>
      <c r="E150" t="s">
        <v>460</v>
      </c>
      <c r="F150">
        <v>1</v>
      </c>
    </row>
    <row r="151" spans="1:6" ht="15.75" x14ac:dyDescent="0.25">
      <c r="A151">
        <v>150</v>
      </c>
      <c r="B151" s="104" t="s">
        <v>266</v>
      </c>
      <c r="C151" s="119" t="s">
        <v>300</v>
      </c>
      <c r="D151">
        <v>3</v>
      </c>
      <c r="E151" t="s">
        <v>427</v>
      </c>
      <c r="F151">
        <v>1</v>
      </c>
    </row>
    <row r="152" spans="1:6" ht="15.75" x14ac:dyDescent="0.25">
      <c r="A152">
        <v>151</v>
      </c>
      <c r="B152" s="107" t="s">
        <v>363</v>
      </c>
      <c r="C152" s="119" t="s">
        <v>361</v>
      </c>
      <c r="D152">
        <v>4</v>
      </c>
      <c r="E152" t="s">
        <v>490</v>
      </c>
      <c r="F152">
        <v>1</v>
      </c>
    </row>
    <row r="153" spans="1:6" ht="15.75" x14ac:dyDescent="0.25">
      <c r="A153">
        <v>152</v>
      </c>
      <c r="B153" s="108" t="s">
        <v>364</v>
      </c>
      <c r="C153" s="119" t="s">
        <v>361</v>
      </c>
      <c r="D153">
        <v>5</v>
      </c>
      <c r="E153" t="s">
        <v>336</v>
      </c>
      <c r="F153">
        <v>1</v>
      </c>
    </row>
    <row r="154" spans="1:6" ht="15.75" x14ac:dyDescent="0.25">
      <c r="A154">
        <v>153</v>
      </c>
      <c r="B154" s="108" t="s">
        <v>365</v>
      </c>
      <c r="C154" s="119" t="s">
        <v>361</v>
      </c>
      <c r="D154">
        <v>6</v>
      </c>
      <c r="E154" t="s">
        <v>356</v>
      </c>
      <c r="F154">
        <v>1</v>
      </c>
    </row>
    <row r="155" spans="1:6" ht="15.75" x14ac:dyDescent="0.25">
      <c r="A155">
        <v>154</v>
      </c>
      <c r="B155" s="108" t="s">
        <v>366</v>
      </c>
      <c r="C155" s="119" t="s">
        <v>406</v>
      </c>
      <c r="D155">
        <v>7</v>
      </c>
      <c r="E155" t="s">
        <v>495</v>
      </c>
      <c r="F155">
        <v>1</v>
      </c>
    </row>
    <row r="156" spans="1:6" ht="15.75" x14ac:dyDescent="0.25">
      <c r="A156">
        <v>155</v>
      </c>
      <c r="B156" s="108" t="s">
        <v>367</v>
      </c>
      <c r="C156" s="119" t="s">
        <v>371</v>
      </c>
      <c r="D156">
        <v>8</v>
      </c>
      <c r="E156" t="s">
        <v>537</v>
      </c>
      <c r="F156">
        <v>1</v>
      </c>
    </row>
    <row r="157" spans="1:6" ht="15.75" x14ac:dyDescent="0.25">
      <c r="A157">
        <v>156</v>
      </c>
      <c r="B157" s="108" t="s">
        <v>368</v>
      </c>
      <c r="C157" s="119" t="s">
        <v>371</v>
      </c>
      <c r="D157">
        <v>9</v>
      </c>
      <c r="E157" t="s">
        <v>418</v>
      </c>
      <c r="F157">
        <v>1</v>
      </c>
    </row>
    <row r="158" spans="1:6" ht="15.75" x14ac:dyDescent="0.25">
      <c r="A158">
        <v>157</v>
      </c>
      <c r="B158" s="104" t="s">
        <v>265</v>
      </c>
      <c r="C158" s="119" t="s">
        <v>371</v>
      </c>
      <c r="D158">
        <v>10</v>
      </c>
      <c r="E158" t="s">
        <v>491</v>
      </c>
      <c r="F158">
        <v>1</v>
      </c>
    </row>
    <row r="159" spans="1:6" ht="15.75" x14ac:dyDescent="0.25">
      <c r="A159">
        <v>158</v>
      </c>
      <c r="B159" s="104" t="s">
        <v>274</v>
      </c>
      <c r="C159" s="119" t="s">
        <v>539</v>
      </c>
      <c r="E159" t="s">
        <v>452</v>
      </c>
      <c r="F159">
        <v>1</v>
      </c>
    </row>
    <row r="160" spans="1:6" ht="15.75" x14ac:dyDescent="0.25">
      <c r="A160">
        <v>159</v>
      </c>
      <c r="B160" s="104" t="s">
        <v>275</v>
      </c>
      <c r="C160" s="119" t="s">
        <v>443</v>
      </c>
      <c r="E160" t="s">
        <v>503</v>
      </c>
      <c r="F160">
        <v>1</v>
      </c>
    </row>
    <row r="161" spans="1:6" ht="15.75" x14ac:dyDescent="0.25">
      <c r="A161">
        <v>160</v>
      </c>
      <c r="B161" s="104" t="s">
        <v>276</v>
      </c>
      <c r="C161" s="119" t="s">
        <v>283</v>
      </c>
      <c r="E161" t="s">
        <v>449</v>
      </c>
      <c r="F161">
        <v>1</v>
      </c>
    </row>
    <row r="162" spans="1:6" ht="15.75" x14ac:dyDescent="0.25">
      <c r="A162">
        <v>161</v>
      </c>
      <c r="B162" s="104" t="s">
        <v>369</v>
      </c>
      <c r="C162" s="119" t="s">
        <v>403</v>
      </c>
      <c r="E162" t="s">
        <v>340</v>
      </c>
      <c r="F162">
        <v>1</v>
      </c>
    </row>
    <row r="163" spans="1:6" ht="15.75" x14ac:dyDescent="0.25">
      <c r="A163">
        <v>162</v>
      </c>
      <c r="B163" s="103" t="s">
        <v>277</v>
      </c>
      <c r="C163" s="119" t="s">
        <v>504</v>
      </c>
      <c r="E163" t="s">
        <v>404</v>
      </c>
      <c r="F163">
        <v>1</v>
      </c>
    </row>
    <row r="164" spans="1:6" ht="15.75" x14ac:dyDescent="0.25">
      <c r="A164">
        <v>163</v>
      </c>
      <c r="B164" s="103" t="s">
        <v>278</v>
      </c>
      <c r="C164" s="119" t="s">
        <v>333</v>
      </c>
      <c r="E164" t="s">
        <v>482</v>
      </c>
      <c r="F164">
        <v>1</v>
      </c>
    </row>
    <row r="165" spans="1:6" ht="15.75" x14ac:dyDescent="0.25">
      <c r="A165">
        <v>164</v>
      </c>
      <c r="B165" s="103" t="s">
        <v>279</v>
      </c>
      <c r="C165" s="119" t="s">
        <v>374</v>
      </c>
      <c r="E165" t="s">
        <v>377</v>
      </c>
      <c r="F165">
        <v>1</v>
      </c>
    </row>
    <row r="166" spans="1:6" ht="15.75" x14ac:dyDescent="0.25">
      <c r="A166">
        <v>165</v>
      </c>
      <c r="B166" s="103" t="s">
        <v>370</v>
      </c>
      <c r="C166" s="119" t="s">
        <v>475</v>
      </c>
      <c r="E166" t="s">
        <v>272</v>
      </c>
      <c r="F166">
        <v>1</v>
      </c>
    </row>
    <row r="167" spans="1:6" ht="15.75" x14ac:dyDescent="0.25">
      <c r="A167">
        <v>166</v>
      </c>
      <c r="B167" s="104" t="s">
        <v>312</v>
      </c>
      <c r="C167" s="119" t="s">
        <v>314</v>
      </c>
      <c r="E167" t="s">
        <v>337</v>
      </c>
      <c r="F167">
        <v>1</v>
      </c>
    </row>
    <row r="168" spans="1:6" ht="15.75" x14ac:dyDescent="0.25">
      <c r="A168">
        <v>167</v>
      </c>
      <c r="B168" s="104" t="s">
        <v>284</v>
      </c>
      <c r="C168" s="119" t="s">
        <v>314</v>
      </c>
      <c r="E168" t="s">
        <v>409</v>
      </c>
      <c r="F168">
        <v>1</v>
      </c>
    </row>
    <row r="169" spans="1:6" ht="15.75" x14ac:dyDescent="0.25">
      <c r="A169">
        <v>168</v>
      </c>
      <c r="B169" s="104" t="s">
        <v>285</v>
      </c>
      <c r="C169" s="119" t="s">
        <v>314</v>
      </c>
      <c r="E169" t="s">
        <v>301</v>
      </c>
      <c r="F169">
        <v>1</v>
      </c>
    </row>
    <row r="170" spans="1:6" ht="15.75" x14ac:dyDescent="0.25">
      <c r="A170">
        <v>169</v>
      </c>
      <c r="B170" s="104" t="s">
        <v>313</v>
      </c>
      <c r="C170" s="119" t="s">
        <v>315</v>
      </c>
      <c r="E170" t="s">
        <v>481</v>
      </c>
      <c r="F170">
        <v>1</v>
      </c>
    </row>
    <row r="171" spans="1:6" ht="15.75" x14ac:dyDescent="0.25">
      <c r="A171">
        <v>170</v>
      </c>
      <c r="B171" s="104" t="s">
        <v>287</v>
      </c>
      <c r="C171" s="119" t="s">
        <v>440</v>
      </c>
      <c r="E171" t="s">
        <v>419</v>
      </c>
      <c r="F171">
        <v>1</v>
      </c>
    </row>
    <row r="172" spans="1:6" ht="15.75" x14ac:dyDescent="0.25">
      <c r="A172">
        <v>171</v>
      </c>
      <c r="B172" s="104" t="s">
        <v>371</v>
      </c>
      <c r="C172" s="119" t="s">
        <v>405</v>
      </c>
      <c r="E172" t="s">
        <v>325</v>
      </c>
      <c r="F172">
        <v>1</v>
      </c>
    </row>
    <row r="173" spans="1:6" ht="15.75" x14ac:dyDescent="0.25">
      <c r="A173">
        <v>172</v>
      </c>
      <c r="B173" s="104" t="s">
        <v>372</v>
      </c>
      <c r="C173" s="119" t="s">
        <v>405</v>
      </c>
      <c r="E173" t="s">
        <v>389</v>
      </c>
      <c r="F173">
        <v>1</v>
      </c>
    </row>
    <row r="174" spans="1:6" ht="15.75" x14ac:dyDescent="0.25">
      <c r="A174">
        <v>173</v>
      </c>
      <c r="B174" s="104" t="s">
        <v>373</v>
      </c>
      <c r="C174" s="119" t="s">
        <v>383</v>
      </c>
      <c r="E174" t="s">
        <v>311</v>
      </c>
      <c r="F174">
        <v>1</v>
      </c>
    </row>
    <row r="175" spans="1:6" ht="15.75" x14ac:dyDescent="0.25">
      <c r="A175">
        <v>174</v>
      </c>
      <c r="B175" s="103" t="s">
        <v>374</v>
      </c>
      <c r="C175" s="119" t="s">
        <v>260</v>
      </c>
      <c r="E175" t="s">
        <v>295</v>
      </c>
      <c r="F175">
        <v>1</v>
      </c>
    </row>
    <row r="176" spans="1:6" ht="15.75" x14ac:dyDescent="0.25">
      <c r="A176">
        <v>175</v>
      </c>
      <c r="B176" s="103" t="s">
        <v>375</v>
      </c>
      <c r="C176" s="119" t="s">
        <v>417</v>
      </c>
      <c r="E176" t="s">
        <v>350</v>
      </c>
      <c r="F176">
        <v>1</v>
      </c>
    </row>
    <row r="177" spans="1:6" ht="15.75" x14ac:dyDescent="0.25">
      <c r="A177">
        <v>176</v>
      </c>
      <c r="B177" s="103" t="s">
        <v>274</v>
      </c>
      <c r="C177" s="119" t="s">
        <v>451</v>
      </c>
      <c r="E177" t="s">
        <v>291</v>
      </c>
      <c r="F177">
        <v>1</v>
      </c>
    </row>
    <row r="178" spans="1:6" ht="15.75" x14ac:dyDescent="0.25">
      <c r="A178">
        <v>177</v>
      </c>
      <c r="B178" s="103" t="s">
        <v>376</v>
      </c>
      <c r="C178" s="119" t="s">
        <v>442</v>
      </c>
      <c r="E178" t="s">
        <v>357</v>
      </c>
      <c r="F178">
        <v>1</v>
      </c>
    </row>
    <row r="179" spans="1:6" ht="15.75" x14ac:dyDescent="0.25">
      <c r="A179">
        <v>178</v>
      </c>
      <c r="B179" s="103" t="s">
        <v>320</v>
      </c>
      <c r="C179" s="119" t="s">
        <v>384</v>
      </c>
      <c r="E179" t="s">
        <v>517</v>
      </c>
      <c r="F179">
        <v>1</v>
      </c>
    </row>
    <row r="180" spans="1:6" ht="15.75" x14ac:dyDescent="0.25">
      <c r="A180">
        <v>179</v>
      </c>
      <c r="B180" s="103" t="s">
        <v>377</v>
      </c>
      <c r="C180" s="119" t="s">
        <v>384</v>
      </c>
      <c r="E180" t="s">
        <v>414</v>
      </c>
      <c r="F180">
        <v>1</v>
      </c>
    </row>
    <row r="181" spans="1:6" ht="15.75" x14ac:dyDescent="0.25">
      <c r="A181">
        <v>180</v>
      </c>
      <c r="B181" s="103" t="s">
        <v>378</v>
      </c>
      <c r="C181" s="119" t="s">
        <v>394</v>
      </c>
      <c r="E181" t="s">
        <v>458</v>
      </c>
      <c r="F181">
        <v>1</v>
      </c>
    </row>
    <row r="182" spans="1:6" ht="15.75" x14ac:dyDescent="0.25">
      <c r="A182">
        <v>181</v>
      </c>
      <c r="B182" s="103" t="s">
        <v>379</v>
      </c>
      <c r="C182" s="119" t="s">
        <v>462</v>
      </c>
      <c r="E182" t="s">
        <v>445</v>
      </c>
      <c r="F182">
        <v>1</v>
      </c>
    </row>
    <row r="183" spans="1:6" ht="15.75" x14ac:dyDescent="0.25">
      <c r="A183">
        <v>182</v>
      </c>
      <c r="B183" s="103" t="s">
        <v>380</v>
      </c>
      <c r="C183" s="119" t="s">
        <v>508</v>
      </c>
      <c r="E183" t="s">
        <v>335</v>
      </c>
      <c r="F183">
        <v>1</v>
      </c>
    </row>
    <row r="184" spans="1:6" ht="15.75" x14ac:dyDescent="0.25">
      <c r="A184">
        <v>183</v>
      </c>
      <c r="B184" s="104" t="s">
        <v>381</v>
      </c>
      <c r="C184" s="119" t="s">
        <v>507</v>
      </c>
      <c r="E184" t="s">
        <v>489</v>
      </c>
      <c r="F184">
        <v>1</v>
      </c>
    </row>
    <row r="185" spans="1:6" ht="15.75" x14ac:dyDescent="0.25">
      <c r="A185">
        <v>184</v>
      </c>
      <c r="B185" s="104" t="s">
        <v>382</v>
      </c>
      <c r="C185" s="119" t="s">
        <v>525</v>
      </c>
      <c r="E185" t="s">
        <v>400</v>
      </c>
      <c r="F185">
        <v>1</v>
      </c>
    </row>
    <row r="186" spans="1:6" ht="15.75" x14ac:dyDescent="0.25">
      <c r="A186">
        <v>185</v>
      </c>
      <c r="B186" s="104" t="s">
        <v>383</v>
      </c>
      <c r="C186" s="119" t="s">
        <v>360</v>
      </c>
      <c r="E186" t="s">
        <v>316</v>
      </c>
      <c r="F186">
        <v>1</v>
      </c>
    </row>
    <row r="187" spans="1:6" ht="15.75" x14ac:dyDescent="0.25">
      <c r="A187">
        <v>186</v>
      </c>
      <c r="B187" s="104" t="s">
        <v>384</v>
      </c>
      <c r="C187" s="119" t="s">
        <v>318</v>
      </c>
      <c r="E187" t="s">
        <v>367</v>
      </c>
      <c r="F187">
        <v>1</v>
      </c>
    </row>
    <row r="188" spans="1:6" ht="15.75" x14ac:dyDescent="0.25">
      <c r="A188">
        <v>187</v>
      </c>
      <c r="B188" s="103" t="s">
        <v>361</v>
      </c>
      <c r="C188" s="119" t="s">
        <v>349</v>
      </c>
      <c r="E188" t="s">
        <v>328</v>
      </c>
      <c r="F188">
        <v>1</v>
      </c>
    </row>
    <row r="189" spans="1:6" ht="15.75" x14ac:dyDescent="0.25">
      <c r="A189">
        <v>188</v>
      </c>
      <c r="B189" s="103" t="s">
        <v>262</v>
      </c>
      <c r="C189" s="119" t="s">
        <v>496</v>
      </c>
      <c r="E189" t="s">
        <v>512</v>
      </c>
      <c r="F189">
        <v>1</v>
      </c>
    </row>
    <row r="190" spans="1:6" ht="15.75" x14ac:dyDescent="0.25">
      <c r="A190">
        <v>189</v>
      </c>
      <c r="B190" s="103" t="s">
        <v>362</v>
      </c>
      <c r="C190" s="119" t="s">
        <v>434</v>
      </c>
      <c r="E190" t="s">
        <v>358</v>
      </c>
      <c r="F190">
        <v>1</v>
      </c>
    </row>
    <row r="191" spans="1:6" ht="15.75" x14ac:dyDescent="0.25">
      <c r="A191">
        <v>190</v>
      </c>
      <c r="B191" s="103" t="s">
        <v>385</v>
      </c>
      <c r="C191" s="119" t="s">
        <v>376</v>
      </c>
      <c r="E191" t="s">
        <v>510</v>
      </c>
      <c r="F191">
        <v>1</v>
      </c>
    </row>
    <row r="192" spans="1:6" ht="15.75" x14ac:dyDescent="0.25">
      <c r="A192">
        <v>191</v>
      </c>
      <c r="B192" s="104" t="s">
        <v>265</v>
      </c>
      <c r="C192" s="119" t="s">
        <v>290</v>
      </c>
      <c r="E192" t="s">
        <v>402</v>
      </c>
      <c r="F192">
        <v>1</v>
      </c>
    </row>
    <row r="193" spans="1:6" ht="15.75" x14ac:dyDescent="0.25">
      <c r="A193">
        <v>192</v>
      </c>
      <c r="B193" s="104" t="s">
        <v>267</v>
      </c>
      <c r="C193" s="119" t="s">
        <v>334</v>
      </c>
      <c r="E193" t="s">
        <v>303</v>
      </c>
      <c r="F193">
        <v>1</v>
      </c>
    </row>
    <row r="194" spans="1:6" ht="15.75" x14ac:dyDescent="0.25">
      <c r="A194">
        <v>193</v>
      </c>
      <c r="B194" s="104" t="s">
        <v>266</v>
      </c>
      <c r="C194" s="119" t="s">
        <v>373</v>
      </c>
      <c r="E194" t="s">
        <v>492</v>
      </c>
      <c r="F194">
        <v>1</v>
      </c>
    </row>
    <row r="195" spans="1:6" ht="15.75" x14ac:dyDescent="0.25">
      <c r="A195">
        <v>194</v>
      </c>
      <c r="B195" s="104" t="s">
        <v>329</v>
      </c>
      <c r="C195" s="119" t="s">
        <v>398</v>
      </c>
      <c r="E195" t="s">
        <v>305</v>
      </c>
      <c r="F195">
        <v>1</v>
      </c>
    </row>
    <row r="196" spans="1:6" ht="15.75" x14ac:dyDescent="0.25">
      <c r="A196">
        <v>195</v>
      </c>
      <c r="B196" s="108" t="s">
        <v>386</v>
      </c>
      <c r="C196" s="119" t="s">
        <v>428</v>
      </c>
      <c r="E196" t="s">
        <v>332</v>
      </c>
      <c r="F196">
        <v>1</v>
      </c>
    </row>
    <row r="197" spans="1:6" ht="15.75" x14ac:dyDescent="0.25">
      <c r="A197">
        <v>196</v>
      </c>
      <c r="B197" s="103" t="s">
        <v>387</v>
      </c>
      <c r="C197" s="119" t="s">
        <v>267</v>
      </c>
      <c r="D197">
        <v>1</v>
      </c>
      <c r="E197" t="s">
        <v>435</v>
      </c>
      <c r="F197">
        <v>1</v>
      </c>
    </row>
    <row r="198" spans="1:6" ht="15.75" x14ac:dyDescent="0.25">
      <c r="A198">
        <v>197</v>
      </c>
      <c r="B198" s="103" t="s">
        <v>388</v>
      </c>
      <c r="C198" s="119" t="s">
        <v>267</v>
      </c>
      <c r="D198">
        <v>2</v>
      </c>
      <c r="E198" t="s">
        <v>338</v>
      </c>
      <c r="F198">
        <v>1</v>
      </c>
    </row>
    <row r="199" spans="1:6" ht="15.75" x14ac:dyDescent="0.25">
      <c r="A199">
        <v>198</v>
      </c>
      <c r="B199" s="103" t="s">
        <v>389</v>
      </c>
      <c r="C199" s="119" t="s">
        <v>267</v>
      </c>
      <c r="D199">
        <v>3</v>
      </c>
      <c r="E199" t="s">
        <v>466</v>
      </c>
      <c r="F199">
        <v>1</v>
      </c>
    </row>
    <row r="200" spans="1:6" ht="15.75" x14ac:dyDescent="0.25">
      <c r="A200">
        <v>199</v>
      </c>
      <c r="B200" s="103" t="s">
        <v>390</v>
      </c>
      <c r="C200" s="119" t="s">
        <v>267</v>
      </c>
      <c r="D200">
        <v>4</v>
      </c>
      <c r="E200" t="s">
        <v>365</v>
      </c>
      <c r="F200">
        <v>1</v>
      </c>
    </row>
    <row r="201" spans="1:6" ht="15.75" x14ac:dyDescent="0.25">
      <c r="A201">
        <v>200</v>
      </c>
      <c r="B201" s="108" t="s">
        <v>391</v>
      </c>
      <c r="C201" s="119" t="s">
        <v>267</v>
      </c>
      <c r="D201">
        <v>5</v>
      </c>
      <c r="E201" t="s">
        <v>308</v>
      </c>
      <c r="F201">
        <v>1</v>
      </c>
    </row>
    <row r="202" spans="1:6" ht="15.75" x14ac:dyDescent="0.25">
      <c r="A202">
        <v>201</v>
      </c>
      <c r="B202" s="103" t="s">
        <v>392</v>
      </c>
      <c r="C202" s="119" t="s">
        <v>267</v>
      </c>
      <c r="D202">
        <v>6</v>
      </c>
      <c r="E202" t="s">
        <v>360</v>
      </c>
      <c r="F202">
        <v>1</v>
      </c>
    </row>
    <row r="203" spans="1:6" ht="15.75" x14ac:dyDescent="0.25">
      <c r="A203">
        <v>202</v>
      </c>
      <c r="B203" s="103" t="s">
        <v>392</v>
      </c>
      <c r="C203" s="119" t="s">
        <v>267</v>
      </c>
      <c r="D203">
        <v>7</v>
      </c>
      <c r="E203" t="s">
        <v>318</v>
      </c>
      <c r="F203">
        <v>1</v>
      </c>
    </row>
    <row r="204" spans="1:6" ht="15.75" x14ac:dyDescent="0.25">
      <c r="A204">
        <v>203</v>
      </c>
      <c r="B204" s="103" t="s">
        <v>393</v>
      </c>
      <c r="C204" s="119" t="s">
        <v>267</v>
      </c>
      <c r="D204">
        <v>8</v>
      </c>
      <c r="E204" t="s">
        <v>349</v>
      </c>
      <c r="F204">
        <v>1</v>
      </c>
    </row>
    <row r="205" spans="1:6" ht="15.75" x14ac:dyDescent="0.25">
      <c r="A205">
        <v>204</v>
      </c>
      <c r="B205" s="104" t="s">
        <v>265</v>
      </c>
      <c r="C205" s="119" t="s">
        <v>267</v>
      </c>
      <c r="D205">
        <v>9</v>
      </c>
      <c r="E205" t="s">
        <v>496</v>
      </c>
      <c r="F205">
        <v>1</v>
      </c>
    </row>
    <row r="206" spans="1:6" ht="15.75" x14ac:dyDescent="0.25">
      <c r="A206">
        <v>205</v>
      </c>
      <c r="B206" s="104" t="s">
        <v>274</v>
      </c>
      <c r="C206" s="119" t="s">
        <v>267</v>
      </c>
      <c r="D206">
        <v>10</v>
      </c>
      <c r="E206" t="s">
        <v>434</v>
      </c>
      <c r="F206">
        <v>1</v>
      </c>
    </row>
    <row r="207" spans="1:6" ht="15.75" x14ac:dyDescent="0.25">
      <c r="A207">
        <v>206</v>
      </c>
      <c r="B207" s="104" t="s">
        <v>275</v>
      </c>
      <c r="C207" s="119" t="s">
        <v>278</v>
      </c>
      <c r="D207">
        <v>11</v>
      </c>
      <c r="E207" t="s">
        <v>376</v>
      </c>
      <c r="F207">
        <v>1</v>
      </c>
    </row>
    <row r="208" spans="1:6" ht="15.75" x14ac:dyDescent="0.25">
      <c r="A208">
        <v>207</v>
      </c>
      <c r="B208" s="104" t="s">
        <v>276</v>
      </c>
      <c r="C208" s="119" t="s">
        <v>278</v>
      </c>
      <c r="D208">
        <v>12</v>
      </c>
      <c r="E208" t="s">
        <v>290</v>
      </c>
      <c r="F208">
        <v>1</v>
      </c>
    </row>
    <row r="209" spans="1:6" ht="15.75" x14ac:dyDescent="0.25">
      <c r="A209">
        <v>208</v>
      </c>
      <c r="B209" s="104" t="s">
        <v>384</v>
      </c>
      <c r="C209" s="119" t="s">
        <v>278</v>
      </c>
      <c r="D209">
        <v>13</v>
      </c>
      <c r="E209" t="s">
        <v>334</v>
      </c>
      <c r="F209">
        <v>1</v>
      </c>
    </row>
    <row r="210" spans="1:6" ht="15.75" x14ac:dyDescent="0.25">
      <c r="A210">
        <v>209</v>
      </c>
      <c r="B210" s="103" t="s">
        <v>277</v>
      </c>
      <c r="C210" s="119" t="s">
        <v>278</v>
      </c>
      <c r="D210">
        <v>14</v>
      </c>
      <c r="E210" t="s">
        <v>373</v>
      </c>
      <c r="F210">
        <v>1</v>
      </c>
    </row>
    <row r="211" spans="1:6" ht="15.75" x14ac:dyDescent="0.25">
      <c r="A211">
        <v>210</v>
      </c>
      <c r="B211" s="103" t="s">
        <v>278</v>
      </c>
      <c r="C211" s="119" t="s">
        <v>278</v>
      </c>
      <c r="D211">
        <v>15</v>
      </c>
      <c r="E211" t="s">
        <v>398</v>
      </c>
      <c r="F211">
        <v>1</v>
      </c>
    </row>
    <row r="212" spans="1:6" ht="15.75" x14ac:dyDescent="0.25">
      <c r="A212">
        <v>211</v>
      </c>
      <c r="B212" s="103" t="s">
        <v>279</v>
      </c>
      <c r="C212" s="119" t="s">
        <v>278</v>
      </c>
      <c r="D212">
        <v>16</v>
      </c>
      <c r="E212" t="s">
        <v>428</v>
      </c>
      <c r="F212">
        <v>1</v>
      </c>
    </row>
    <row r="213" spans="1:6" ht="15.75" x14ac:dyDescent="0.25">
      <c r="A213">
        <v>212</v>
      </c>
      <c r="B213" s="103" t="s">
        <v>370</v>
      </c>
      <c r="C213" s="119" t="s">
        <v>278</v>
      </c>
      <c r="D213">
        <v>17</v>
      </c>
      <c r="E213" t="s">
        <v>307</v>
      </c>
      <c r="F213">
        <v>1</v>
      </c>
    </row>
    <row r="214" spans="1:6" ht="15.75" x14ac:dyDescent="0.25">
      <c r="A214">
        <v>213</v>
      </c>
      <c r="B214" s="104" t="s">
        <v>312</v>
      </c>
      <c r="C214" s="119" t="s">
        <v>278</v>
      </c>
      <c r="D214">
        <v>18</v>
      </c>
      <c r="E214" t="s">
        <v>507</v>
      </c>
      <c r="F214">
        <v>1</v>
      </c>
    </row>
    <row r="215" spans="1:6" ht="15.75" x14ac:dyDescent="0.25">
      <c r="A215">
        <v>214</v>
      </c>
      <c r="B215" s="104" t="s">
        <v>284</v>
      </c>
      <c r="C215" s="119" t="s">
        <v>278</v>
      </c>
      <c r="D215">
        <v>19</v>
      </c>
      <c r="E215" t="s">
        <v>254</v>
      </c>
      <c r="F215">
        <v>1</v>
      </c>
    </row>
    <row r="216" spans="1:6" ht="15.75" x14ac:dyDescent="0.25">
      <c r="A216">
        <v>215</v>
      </c>
      <c r="B216" s="104" t="s">
        <v>285</v>
      </c>
      <c r="C216" s="119" t="s">
        <v>278</v>
      </c>
      <c r="D216">
        <v>20</v>
      </c>
      <c r="E216" t="s">
        <v>324</v>
      </c>
      <c r="F216">
        <v>1</v>
      </c>
    </row>
    <row r="217" spans="1:6" ht="15.75" x14ac:dyDescent="0.25">
      <c r="A217">
        <v>216</v>
      </c>
      <c r="B217" s="104" t="s">
        <v>313</v>
      </c>
      <c r="C217" s="119" t="s">
        <v>264</v>
      </c>
      <c r="D217">
        <v>21</v>
      </c>
      <c r="E217" t="s">
        <v>433</v>
      </c>
      <c r="F217">
        <v>1</v>
      </c>
    </row>
    <row r="218" spans="1:6" ht="15.75" x14ac:dyDescent="0.25">
      <c r="A218">
        <v>217</v>
      </c>
      <c r="B218" s="104" t="s">
        <v>287</v>
      </c>
      <c r="C218" s="119" t="s">
        <v>264</v>
      </c>
      <c r="D218">
        <v>22</v>
      </c>
      <c r="E218" t="s">
        <v>270</v>
      </c>
      <c r="F218">
        <v>1</v>
      </c>
    </row>
    <row r="219" spans="1:6" ht="15.75" x14ac:dyDescent="0.25">
      <c r="A219">
        <v>218</v>
      </c>
      <c r="B219" s="104" t="s">
        <v>342</v>
      </c>
      <c r="C219" s="119" t="s">
        <v>264</v>
      </c>
      <c r="D219">
        <v>23</v>
      </c>
      <c r="E219" t="s">
        <v>355</v>
      </c>
      <c r="F219">
        <v>1</v>
      </c>
    </row>
    <row r="220" spans="1:6" ht="15.75" x14ac:dyDescent="0.25">
      <c r="A220">
        <v>219</v>
      </c>
      <c r="B220" s="104" t="s">
        <v>394</v>
      </c>
      <c r="C220" s="119" t="s">
        <v>264</v>
      </c>
      <c r="D220">
        <v>24</v>
      </c>
      <c r="E220" t="s">
        <v>474</v>
      </c>
      <c r="F220">
        <v>1</v>
      </c>
    </row>
    <row r="221" spans="1:6" ht="15.75" x14ac:dyDescent="0.25">
      <c r="A221">
        <v>220</v>
      </c>
      <c r="B221" s="104" t="s">
        <v>371</v>
      </c>
      <c r="C221" s="119" t="s">
        <v>264</v>
      </c>
      <c r="D221">
        <v>25</v>
      </c>
      <c r="E221" t="s">
        <v>317</v>
      </c>
      <c r="F221">
        <v>1</v>
      </c>
    </row>
    <row r="222" spans="1:6" ht="15.75" x14ac:dyDescent="0.25">
      <c r="A222">
        <v>221</v>
      </c>
      <c r="B222" s="104" t="s">
        <v>395</v>
      </c>
      <c r="C222" s="119" t="s">
        <v>264</v>
      </c>
      <c r="D222">
        <v>26</v>
      </c>
      <c r="E222" t="s">
        <v>397</v>
      </c>
      <c r="F222">
        <v>1</v>
      </c>
    </row>
    <row r="223" spans="1:6" ht="15.75" x14ac:dyDescent="0.25">
      <c r="A223">
        <v>222</v>
      </c>
      <c r="B223" s="103" t="s">
        <v>261</v>
      </c>
      <c r="C223" s="119" t="s">
        <v>264</v>
      </c>
      <c r="D223">
        <v>27</v>
      </c>
      <c r="E223" t="s">
        <v>477</v>
      </c>
      <c r="F223">
        <v>1</v>
      </c>
    </row>
    <row r="224" spans="1:6" ht="15.75" x14ac:dyDescent="0.25">
      <c r="A224">
        <v>223</v>
      </c>
      <c r="B224" s="103" t="s">
        <v>396</v>
      </c>
      <c r="C224" s="119" t="s">
        <v>254</v>
      </c>
      <c r="E224" t="s">
        <v>292</v>
      </c>
      <c r="F224">
        <v>1</v>
      </c>
    </row>
    <row r="225" spans="1:6" ht="15.75" x14ac:dyDescent="0.25">
      <c r="A225">
        <v>224</v>
      </c>
      <c r="B225" s="103" t="s">
        <v>397</v>
      </c>
      <c r="C225" s="125" t="s">
        <v>324</v>
      </c>
      <c r="E225" t="s">
        <v>538</v>
      </c>
      <c r="F225">
        <v>1</v>
      </c>
    </row>
    <row r="226" spans="1:6" ht="15.75" x14ac:dyDescent="0.25">
      <c r="A226">
        <v>225</v>
      </c>
      <c r="B226" s="103" t="s">
        <v>398</v>
      </c>
      <c r="C226" s="119" t="s">
        <v>433</v>
      </c>
      <c r="E226" t="s">
        <v>525</v>
      </c>
      <c r="F226">
        <v>1</v>
      </c>
    </row>
    <row r="227" spans="1:6" ht="15.75" x14ac:dyDescent="0.25">
      <c r="A227">
        <v>226</v>
      </c>
      <c r="B227" s="103" t="s">
        <v>399</v>
      </c>
      <c r="C227" s="119" t="s">
        <v>270</v>
      </c>
      <c r="E227" t="s">
        <v>508</v>
      </c>
      <c r="F227">
        <v>1</v>
      </c>
    </row>
    <row r="228" spans="1:6" ht="15.75" x14ac:dyDescent="0.25">
      <c r="A228">
        <v>227</v>
      </c>
      <c r="B228" s="103" t="s">
        <v>297</v>
      </c>
      <c r="C228" s="119" t="s">
        <v>355</v>
      </c>
      <c r="E228" t="s">
        <v>326</v>
      </c>
      <c r="F228">
        <v>1</v>
      </c>
    </row>
    <row r="229" spans="1:6" ht="15.75" x14ac:dyDescent="0.25">
      <c r="A229">
        <v>228</v>
      </c>
      <c r="B229" s="103" t="s">
        <v>400</v>
      </c>
      <c r="C229" s="118" t="s">
        <v>410</v>
      </c>
      <c r="E229" t="s">
        <v>403</v>
      </c>
      <c r="F229">
        <v>1</v>
      </c>
    </row>
    <row r="230" spans="1:6" ht="15.75" x14ac:dyDescent="0.25">
      <c r="A230">
        <v>229</v>
      </c>
      <c r="B230" s="103" t="s">
        <v>401</v>
      </c>
      <c r="C230" s="119" t="s">
        <v>410</v>
      </c>
      <c r="E230" t="s">
        <v>420</v>
      </c>
      <c r="F230">
        <v>1</v>
      </c>
    </row>
    <row r="231" spans="1:6" ht="15.75" x14ac:dyDescent="0.25">
      <c r="A231">
        <v>230</v>
      </c>
      <c r="B231" s="103" t="s">
        <v>402</v>
      </c>
      <c r="C231" s="119" t="s">
        <v>502</v>
      </c>
      <c r="E231" t="s">
        <v>494</v>
      </c>
      <c r="F231">
        <v>1</v>
      </c>
    </row>
    <row r="232" spans="1:6" ht="15.75" x14ac:dyDescent="0.25">
      <c r="A232">
        <v>231</v>
      </c>
      <c r="B232" s="103" t="s">
        <v>403</v>
      </c>
      <c r="C232" s="119" t="s">
        <v>502</v>
      </c>
      <c r="E232" t="s">
        <v>380</v>
      </c>
      <c r="F232">
        <v>1</v>
      </c>
    </row>
    <row r="233" spans="1:6" ht="15.75" x14ac:dyDescent="0.25">
      <c r="A233">
        <v>232</v>
      </c>
      <c r="B233" s="103" t="s">
        <v>404</v>
      </c>
      <c r="C233" s="119" t="s">
        <v>474</v>
      </c>
      <c r="E233" t="s">
        <v>426</v>
      </c>
      <c r="F233">
        <v>1</v>
      </c>
    </row>
    <row r="234" spans="1:6" ht="15.75" x14ac:dyDescent="0.25">
      <c r="A234">
        <v>233</v>
      </c>
      <c r="B234" s="103" t="s">
        <v>405</v>
      </c>
      <c r="C234" s="119" t="s">
        <v>432</v>
      </c>
      <c r="E234" t="s">
        <v>343</v>
      </c>
      <c r="F234">
        <v>1</v>
      </c>
    </row>
    <row r="235" spans="1:6" ht="15.75" x14ac:dyDescent="0.25">
      <c r="A235">
        <v>234</v>
      </c>
      <c r="B235" s="104" t="s">
        <v>406</v>
      </c>
      <c r="C235" s="119" t="s">
        <v>397</v>
      </c>
      <c r="E235" t="s">
        <v>441</v>
      </c>
      <c r="F235">
        <v>1</v>
      </c>
    </row>
    <row r="236" spans="1:6" ht="15.75" x14ac:dyDescent="0.25">
      <c r="A236">
        <v>235</v>
      </c>
      <c r="B236" s="104" t="s">
        <v>407</v>
      </c>
      <c r="C236" s="119" t="s">
        <v>477</v>
      </c>
      <c r="E236" t="s">
        <v>300</v>
      </c>
      <c r="F236">
        <v>1</v>
      </c>
    </row>
    <row r="237" spans="1:6" ht="15.75" x14ac:dyDescent="0.25">
      <c r="A237">
        <v>236</v>
      </c>
      <c r="B237" s="104" t="s">
        <v>408</v>
      </c>
      <c r="C237" s="119" t="s">
        <v>292</v>
      </c>
      <c r="E237" t="s">
        <v>406</v>
      </c>
      <c r="F237">
        <v>1</v>
      </c>
    </row>
    <row r="238" spans="1:6" ht="15.75" x14ac:dyDescent="0.25">
      <c r="A238">
        <v>237</v>
      </c>
      <c r="B238" s="103" t="s">
        <v>409</v>
      </c>
      <c r="C238" s="119" t="s">
        <v>538</v>
      </c>
      <c r="E238" t="s">
        <v>539</v>
      </c>
      <c r="F238">
        <v>1</v>
      </c>
    </row>
    <row r="239" spans="1:6" ht="15.75" x14ac:dyDescent="0.25">
      <c r="A239">
        <v>238</v>
      </c>
      <c r="B239" s="109" t="s">
        <v>410</v>
      </c>
      <c r="C239" s="119" t="s">
        <v>365</v>
      </c>
      <c r="E239" t="s">
        <v>443</v>
      </c>
      <c r="F239">
        <v>1</v>
      </c>
    </row>
    <row r="240" spans="1:6" ht="15.75" x14ac:dyDescent="0.25">
      <c r="A240">
        <v>239</v>
      </c>
      <c r="B240" s="103" t="s">
        <v>411</v>
      </c>
      <c r="C240" s="119" t="s">
        <v>353</v>
      </c>
      <c r="E240" t="s">
        <v>283</v>
      </c>
      <c r="F240">
        <v>1</v>
      </c>
    </row>
    <row r="241" spans="1:6" ht="15.75" x14ac:dyDescent="0.25">
      <c r="A241">
        <v>240</v>
      </c>
      <c r="B241" s="103" t="s">
        <v>362</v>
      </c>
      <c r="C241" s="119" t="s">
        <v>282</v>
      </c>
      <c r="E241" t="s">
        <v>504</v>
      </c>
      <c r="F241">
        <v>1</v>
      </c>
    </row>
    <row r="242" spans="1:6" ht="15.75" x14ac:dyDescent="0.25">
      <c r="A242">
        <v>241</v>
      </c>
      <c r="B242" s="103" t="s">
        <v>264</v>
      </c>
      <c r="C242" s="119" t="s">
        <v>519</v>
      </c>
      <c r="E242" t="s">
        <v>462</v>
      </c>
      <c r="F242">
        <v>1</v>
      </c>
    </row>
    <row r="243" spans="1:6" ht="15.75" x14ac:dyDescent="0.25">
      <c r="A243">
        <v>242</v>
      </c>
      <c r="B243" s="104" t="s">
        <v>265</v>
      </c>
      <c r="C243" s="119" t="s">
        <v>388</v>
      </c>
      <c r="E243" t="s">
        <v>333</v>
      </c>
      <c r="F243">
        <v>1</v>
      </c>
    </row>
    <row r="244" spans="1:6" ht="15.75" x14ac:dyDescent="0.25">
      <c r="A244">
        <v>243</v>
      </c>
      <c r="B244" s="104" t="s">
        <v>267</v>
      </c>
      <c r="C244" s="119" t="s">
        <v>465</v>
      </c>
      <c r="E244" t="s">
        <v>374</v>
      </c>
      <c r="F244">
        <v>1</v>
      </c>
    </row>
    <row r="245" spans="1:6" ht="15.75" x14ac:dyDescent="0.25">
      <c r="A245">
        <v>244</v>
      </c>
      <c r="B245" s="104" t="s">
        <v>266</v>
      </c>
      <c r="C245" s="119" t="s">
        <v>531</v>
      </c>
      <c r="E245" t="s">
        <v>475</v>
      </c>
      <c r="F245">
        <v>1</v>
      </c>
    </row>
    <row r="246" spans="1:6" ht="15.75" x14ac:dyDescent="0.25">
      <c r="A246">
        <v>245</v>
      </c>
      <c r="B246" s="104" t="s">
        <v>329</v>
      </c>
      <c r="C246" s="119" t="s">
        <v>322</v>
      </c>
      <c r="E246" t="s">
        <v>315</v>
      </c>
      <c r="F246">
        <v>1</v>
      </c>
    </row>
    <row r="247" spans="1:6" ht="15.75" x14ac:dyDescent="0.25">
      <c r="A247">
        <v>246</v>
      </c>
      <c r="B247" s="103" t="s">
        <v>412</v>
      </c>
      <c r="C247" s="119" t="s">
        <v>438</v>
      </c>
      <c r="E247" t="s">
        <v>440</v>
      </c>
      <c r="F247">
        <v>1</v>
      </c>
    </row>
    <row r="248" spans="1:6" ht="15.75" x14ac:dyDescent="0.25">
      <c r="A248">
        <v>247</v>
      </c>
      <c r="B248" s="108" t="s">
        <v>413</v>
      </c>
      <c r="C248" s="119" t="s">
        <v>437</v>
      </c>
      <c r="E248" t="s">
        <v>383</v>
      </c>
      <c r="F248">
        <v>1</v>
      </c>
    </row>
    <row r="249" spans="1:6" ht="15.75" x14ac:dyDescent="0.25">
      <c r="A249">
        <v>248</v>
      </c>
      <c r="B249" s="103" t="s">
        <v>414</v>
      </c>
      <c r="C249" s="119" t="s">
        <v>256</v>
      </c>
      <c r="E249" t="s">
        <v>260</v>
      </c>
      <c r="F249">
        <v>1</v>
      </c>
    </row>
    <row r="250" spans="1:6" ht="15.75" x14ac:dyDescent="0.25">
      <c r="A250">
        <v>249</v>
      </c>
      <c r="B250" s="103" t="s">
        <v>415</v>
      </c>
      <c r="C250" s="119" t="s">
        <v>348</v>
      </c>
      <c r="E250" t="s">
        <v>417</v>
      </c>
      <c r="F250">
        <v>1</v>
      </c>
    </row>
    <row r="251" spans="1:6" ht="15.75" x14ac:dyDescent="0.25">
      <c r="A251">
        <v>250</v>
      </c>
      <c r="B251" s="103" t="s">
        <v>416</v>
      </c>
      <c r="C251" s="119" t="s">
        <v>421</v>
      </c>
      <c r="E251" t="s">
        <v>451</v>
      </c>
      <c r="F251">
        <v>1</v>
      </c>
    </row>
    <row r="252" spans="1:6" ht="15.75" x14ac:dyDescent="0.25">
      <c r="A252">
        <v>251</v>
      </c>
      <c r="B252" s="108" t="s">
        <v>275</v>
      </c>
      <c r="C252" s="119" t="s">
        <v>497</v>
      </c>
      <c r="E252" t="s">
        <v>442</v>
      </c>
      <c r="F252">
        <v>1</v>
      </c>
    </row>
    <row r="253" spans="1:6" ht="15.75" x14ac:dyDescent="0.25">
      <c r="A253">
        <v>252</v>
      </c>
      <c r="B253" s="103" t="s">
        <v>417</v>
      </c>
      <c r="C253" s="119" t="s">
        <v>497</v>
      </c>
      <c r="E253" t="s">
        <v>394</v>
      </c>
      <c r="F253">
        <v>1</v>
      </c>
    </row>
    <row r="254" spans="1:6" ht="15.75" x14ac:dyDescent="0.25">
      <c r="A254">
        <v>253</v>
      </c>
      <c r="B254" s="103" t="s">
        <v>418</v>
      </c>
      <c r="C254" s="119" t="s">
        <v>523</v>
      </c>
      <c r="E254" t="s">
        <v>339</v>
      </c>
      <c r="F254">
        <v>1</v>
      </c>
    </row>
    <row r="255" spans="1:6" ht="15.75" x14ac:dyDescent="0.25">
      <c r="A255">
        <v>254</v>
      </c>
      <c r="B255" s="108" t="s">
        <v>419</v>
      </c>
      <c r="C255" s="119" t="s">
        <v>327</v>
      </c>
    </row>
    <row r="256" spans="1:6" ht="15.75" x14ac:dyDescent="0.25">
      <c r="A256">
        <v>255</v>
      </c>
      <c r="B256" s="108" t="s">
        <v>420</v>
      </c>
      <c r="C256" s="119" t="s">
        <v>411</v>
      </c>
    </row>
    <row r="257" spans="1:4" ht="15.75" x14ac:dyDescent="0.25">
      <c r="A257">
        <v>256</v>
      </c>
      <c r="B257" s="103" t="s">
        <v>421</v>
      </c>
      <c r="C257" s="119" t="s">
        <v>411</v>
      </c>
    </row>
    <row r="258" spans="1:4" ht="15.75" x14ac:dyDescent="0.25">
      <c r="A258">
        <v>257</v>
      </c>
      <c r="B258" s="103" t="s">
        <v>352</v>
      </c>
      <c r="C258" s="119" t="s">
        <v>364</v>
      </c>
    </row>
    <row r="259" spans="1:4" ht="15.75" x14ac:dyDescent="0.25">
      <c r="A259">
        <v>258</v>
      </c>
      <c r="B259" s="103" t="s">
        <v>422</v>
      </c>
      <c r="C259" s="119" t="s">
        <v>269</v>
      </c>
    </row>
    <row r="260" spans="1:4" ht="15.75" x14ac:dyDescent="0.25">
      <c r="A260">
        <v>259</v>
      </c>
      <c r="B260" s="104" t="s">
        <v>423</v>
      </c>
      <c r="C260" s="119" t="s">
        <v>505</v>
      </c>
    </row>
    <row r="261" spans="1:4" ht="15.75" x14ac:dyDescent="0.25">
      <c r="A261">
        <v>260</v>
      </c>
      <c r="B261" s="104" t="s">
        <v>424</v>
      </c>
      <c r="C261" s="119" t="s">
        <v>429</v>
      </c>
    </row>
    <row r="262" spans="1:4" ht="15.75" x14ac:dyDescent="0.25">
      <c r="A262">
        <v>261</v>
      </c>
      <c r="B262" s="104" t="s">
        <v>274</v>
      </c>
      <c r="C262" s="119" t="s">
        <v>520</v>
      </c>
    </row>
    <row r="263" spans="1:4" ht="15.75" x14ac:dyDescent="0.25">
      <c r="A263">
        <v>262</v>
      </c>
      <c r="B263" s="103" t="s">
        <v>277</v>
      </c>
      <c r="C263" s="119" t="s">
        <v>257</v>
      </c>
    </row>
    <row r="264" spans="1:4" ht="15.75" x14ac:dyDescent="0.25">
      <c r="A264">
        <v>263</v>
      </c>
      <c r="B264" s="103" t="s">
        <v>278</v>
      </c>
      <c r="C264" s="119" t="s">
        <v>511</v>
      </c>
    </row>
    <row r="265" spans="1:4" ht="15.75" x14ac:dyDescent="0.25">
      <c r="A265">
        <v>264</v>
      </c>
      <c r="B265" s="103" t="s">
        <v>279</v>
      </c>
      <c r="C265" s="119" t="s">
        <v>408</v>
      </c>
    </row>
    <row r="266" spans="1:4" ht="15.75" x14ac:dyDescent="0.25">
      <c r="A266">
        <v>265</v>
      </c>
      <c r="B266" s="103" t="s">
        <v>370</v>
      </c>
      <c r="C266" s="119" t="s">
        <v>369</v>
      </c>
    </row>
    <row r="267" spans="1:4" ht="15.75" x14ac:dyDescent="0.25">
      <c r="A267">
        <v>266</v>
      </c>
      <c r="B267" s="104" t="s">
        <v>312</v>
      </c>
      <c r="C267" s="119" t="s">
        <v>459</v>
      </c>
    </row>
    <row r="268" spans="1:4" ht="15.75" x14ac:dyDescent="0.25">
      <c r="A268">
        <v>267</v>
      </c>
      <c r="B268" s="104" t="s">
        <v>284</v>
      </c>
      <c r="C268" s="119" t="s">
        <v>345</v>
      </c>
    </row>
    <row r="269" spans="1:4" ht="15.75" x14ac:dyDescent="0.25">
      <c r="A269">
        <v>268</v>
      </c>
      <c r="B269" s="104" t="s">
        <v>285</v>
      </c>
      <c r="C269" s="119" t="s">
        <v>372</v>
      </c>
    </row>
    <row r="270" spans="1:4" ht="15.75" x14ac:dyDescent="0.25">
      <c r="A270">
        <v>269</v>
      </c>
      <c r="B270" s="104" t="s">
        <v>313</v>
      </c>
      <c r="C270" s="119" t="s">
        <v>286</v>
      </c>
      <c r="D270">
        <v>11</v>
      </c>
    </row>
    <row r="271" spans="1:4" ht="15.75" x14ac:dyDescent="0.25">
      <c r="A271">
        <v>270</v>
      </c>
      <c r="B271" s="104" t="s">
        <v>287</v>
      </c>
      <c r="C271" s="119" t="s">
        <v>313</v>
      </c>
      <c r="D271">
        <v>1</v>
      </c>
    </row>
    <row r="272" spans="1:4" ht="15.75" x14ac:dyDescent="0.25">
      <c r="A272">
        <v>271</v>
      </c>
      <c r="B272" s="104" t="s">
        <v>425</v>
      </c>
      <c r="C272" s="119" t="s">
        <v>313</v>
      </c>
      <c r="D272">
        <v>2</v>
      </c>
    </row>
    <row r="273" spans="1:4" ht="15.75" x14ac:dyDescent="0.25">
      <c r="A273">
        <v>272</v>
      </c>
      <c r="B273" s="104" t="s">
        <v>314</v>
      </c>
      <c r="C273" s="119" t="s">
        <v>313</v>
      </c>
      <c r="D273">
        <v>3</v>
      </c>
    </row>
    <row r="274" spans="1:4" ht="15.75" x14ac:dyDescent="0.25">
      <c r="A274">
        <v>273</v>
      </c>
      <c r="B274" s="104" t="s">
        <v>426</v>
      </c>
      <c r="C274" s="119" t="s">
        <v>313</v>
      </c>
      <c r="D274">
        <v>4</v>
      </c>
    </row>
    <row r="275" spans="1:4" ht="15.75" x14ac:dyDescent="0.25">
      <c r="A275">
        <v>274</v>
      </c>
      <c r="B275" s="104" t="s">
        <v>371</v>
      </c>
      <c r="C275" s="119" t="s">
        <v>313</v>
      </c>
      <c r="D275">
        <v>5</v>
      </c>
    </row>
    <row r="276" spans="1:4" ht="15.75" x14ac:dyDescent="0.25">
      <c r="A276">
        <v>275</v>
      </c>
      <c r="B276" s="104" t="s">
        <v>427</v>
      </c>
      <c r="C276" s="119" t="s">
        <v>313</v>
      </c>
      <c r="D276">
        <v>6</v>
      </c>
    </row>
    <row r="277" spans="1:4" ht="15.75" x14ac:dyDescent="0.25">
      <c r="A277">
        <v>276</v>
      </c>
      <c r="B277" s="104" t="s">
        <v>428</v>
      </c>
      <c r="C277" s="119" t="s">
        <v>313</v>
      </c>
      <c r="D277">
        <v>7</v>
      </c>
    </row>
    <row r="278" spans="1:4" ht="15.75" x14ac:dyDescent="0.25">
      <c r="A278">
        <v>277</v>
      </c>
      <c r="B278" s="104" t="s">
        <v>429</v>
      </c>
      <c r="C278" s="119" t="s">
        <v>313</v>
      </c>
      <c r="D278">
        <v>8</v>
      </c>
    </row>
    <row r="279" spans="1:4" ht="15.75" x14ac:dyDescent="0.25">
      <c r="A279">
        <v>278</v>
      </c>
      <c r="B279" s="103" t="s">
        <v>430</v>
      </c>
      <c r="C279" s="119" t="s">
        <v>313</v>
      </c>
      <c r="D279">
        <v>9</v>
      </c>
    </row>
    <row r="280" spans="1:4" ht="15.75" x14ac:dyDescent="0.25">
      <c r="A280">
        <v>279</v>
      </c>
      <c r="B280" s="103" t="s">
        <v>431</v>
      </c>
      <c r="C280" s="119" t="s">
        <v>268</v>
      </c>
      <c r="D280">
        <v>10</v>
      </c>
    </row>
    <row r="281" spans="1:4" ht="15.75" x14ac:dyDescent="0.25">
      <c r="A281">
        <v>280</v>
      </c>
      <c r="B281" s="103" t="s">
        <v>432</v>
      </c>
      <c r="C281" s="119" t="s">
        <v>271</v>
      </c>
    </row>
    <row r="282" spans="1:4" ht="15.75" x14ac:dyDescent="0.25">
      <c r="A282">
        <v>281</v>
      </c>
      <c r="B282" s="103" t="s">
        <v>433</v>
      </c>
      <c r="C282" s="119" t="s">
        <v>478</v>
      </c>
    </row>
    <row r="283" spans="1:4" ht="15.75" x14ac:dyDescent="0.25">
      <c r="A283">
        <v>282</v>
      </c>
      <c r="B283" s="103" t="s">
        <v>434</v>
      </c>
      <c r="C283" s="119" t="s">
        <v>436</v>
      </c>
    </row>
    <row r="284" spans="1:4" ht="15.75" x14ac:dyDescent="0.25">
      <c r="A284">
        <v>283</v>
      </c>
      <c r="B284" s="103" t="s">
        <v>351</v>
      </c>
      <c r="C284" s="119" t="s">
        <v>299</v>
      </c>
    </row>
    <row r="285" spans="1:4" ht="15.75" x14ac:dyDescent="0.25">
      <c r="A285">
        <v>284</v>
      </c>
      <c r="B285" s="103" t="s">
        <v>435</v>
      </c>
      <c r="C285" s="119" t="s">
        <v>368</v>
      </c>
    </row>
    <row r="286" spans="1:4" ht="15.75" x14ac:dyDescent="0.25">
      <c r="A286">
        <v>285</v>
      </c>
      <c r="B286" s="103" t="s">
        <v>320</v>
      </c>
      <c r="C286" s="119" t="s">
        <v>393</v>
      </c>
    </row>
    <row r="287" spans="1:4" ht="15.75" x14ac:dyDescent="0.25">
      <c r="A287">
        <v>286</v>
      </c>
      <c r="B287" s="103" t="s">
        <v>436</v>
      </c>
      <c r="C287" s="119" t="s">
        <v>354</v>
      </c>
    </row>
    <row r="288" spans="1:4" ht="15.75" x14ac:dyDescent="0.25">
      <c r="A288">
        <v>287</v>
      </c>
      <c r="B288" s="103" t="s">
        <v>437</v>
      </c>
      <c r="C288" s="119" t="s">
        <v>302</v>
      </c>
    </row>
    <row r="289" spans="1:3" ht="15.75" x14ac:dyDescent="0.25">
      <c r="A289">
        <v>288</v>
      </c>
      <c r="B289" s="103" t="s">
        <v>438</v>
      </c>
      <c r="C289" s="119" t="s">
        <v>439</v>
      </c>
    </row>
    <row r="290" spans="1:3" ht="15.75" x14ac:dyDescent="0.25">
      <c r="A290">
        <v>289</v>
      </c>
      <c r="B290" s="103" t="s">
        <v>439</v>
      </c>
      <c r="C290" s="119" t="s">
        <v>375</v>
      </c>
    </row>
    <row r="291" spans="1:3" ht="15.75" x14ac:dyDescent="0.25">
      <c r="A291">
        <v>290</v>
      </c>
      <c r="B291" s="103" t="s">
        <v>440</v>
      </c>
      <c r="C291" s="119" t="s">
        <v>396</v>
      </c>
    </row>
    <row r="292" spans="1:3" ht="15.75" x14ac:dyDescent="0.25">
      <c r="A292">
        <v>291</v>
      </c>
      <c r="B292" s="104" t="s">
        <v>441</v>
      </c>
      <c r="C292" s="119" t="s">
        <v>276</v>
      </c>
    </row>
    <row r="293" spans="1:3" ht="15.75" x14ac:dyDescent="0.25">
      <c r="A293">
        <v>292</v>
      </c>
      <c r="B293" s="104" t="s">
        <v>442</v>
      </c>
      <c r="C293" s="119" t="s">
        <v>276</v>
      </c>
    </row>
    <row r="294" spans="1:3" ht="15.75" x14ac:dyDescent="0.25">
      <c r="A294">
        <v>293</v>
      </c>
      <c r="B294" s="104" t="s">
        <v>443</v>
      </c>
      <c r="C294" s="119" t="s">
        <v>276</v>
      </c>
    </row>
    <row r="295" spans="1:3" ht="15.75" x14ac:dyDescent="0.25">
      <c r="A295">
        <v>294</v>
      </c>
      <c r="B295" s="103" t="s">
        <v>444</v>
      </c>
      <c r="C295" s="119" t="s">
        <v>276</v>
      </c>
    </row>
    <row r="296" spans="1:3" ht="15.75" x14ac:dyDescent="0.25">
      <c r="A296">
        <v>295</v>
      </c>
      <c r="B296" s="103" t="s">
        <v>410</v>
      </c>
      <c r="C296" s="119" t="s">
        <v>276</v>
      </c>
    </row>
    <row r="297" spans="1:3" ht="15.75" x14ac:dyDescent="0.25">
      <c r="A297">
        <v>296</v>
      </c>
      <c r="B297" s="103" t="s">
        <v>411</v>
      </c>
      <c r="C297" s="119" t="s">
        <v>401</v>
      </c>
    </row>
    <row r="298" spans="1:3" ht="15.75" x14ac:dyDescent="0.25">
      <c r="A298">
        <v>297</v>
      </c>
      <c r="B298" s="103" t="s">
        <v>445</v>
      </c>
      <c r="C298" s="119" t="s">
        <v>521</v>
      </c>
    </row>
    <row r="299" spans="1:3" ht="15.75" x14ac:dyDescent="0.25">
      <c r="A299">
        <v>298</v>
      </c>
      <c r="B299" s="103" t="s">
        <v>362</v>
      </c>
      <c r="C299" s="119" t="s">
        <v>506</v>
      </c>
    </row>
    <row r="300" spans="1:3" ht="15.75" x14ac:dyDescent="0.25">
      <c r="A300">
        <v>299</v>
      </c>
      <c r="B300" s="103" t="s">
        <v>264</v>
      </c>
      <c r="C300" s="119" t="s">
        <v>444</v>
      </c>
    </row>
    <row r="301" spans="1:3" ht="15.75" x14ac:dyDescent="0.25">
      <c r="A301">
        <v>300</v>
      </c>
      <c r="B301" s="104" t="s">
        <v>265</v>
      </c>
      <c r="C301" s="119" t="s">
        <v>532</v>
      </c>
    </row>
    <row r="302" spans="1:3" ht="15.75" x14ac:dyDescent="0.25">
      <c r="A302">
        <v>301</v>
      </c>
      <c r="B302" s="104" t="s">
        <v>267</v>
      </c>
      <c r="C302" s="119" t="s">
        <v>484</v>
      </c>
    </row>
    <row r="303" spans="1:3" ht="15.75" x14ac:dyDescent="0.25">
      <c r="A303">
        <v>302</v>
      </c>
      <c r="B303" s="104" t="s">
        <v>266</v>
      </c>
      <c r="C303" s="119" t="s">
        <v>457</v>
      </c>
    </row>
    <row r="304" spans="1:3" ht="15.75" x14ac:dyDescent="0.25">
      <c r="A304">
        <v>303</v>
      </c>
      <c r="B304" s="104" t="s">
        <v>329</v>
      </c>
      <c r="C304" s="119" t="s">
        <v>412</v>
      </c>
    </row>
    <row r="305" spans="1:4" ht="15.75" x14ac:dyDescent="0.25">
      <c r="A305">
        <v>304</v>
      </c>
      <c r="B305" s="108" t="s">
        <v>446</v>
      </c>
      <c r="C305" s="119" t="s">
        <v>513</v>
      </c>
    </row>
    <row r="306" spans="1:4" ht="15.75" x14ac:dyDescent="0.25">
      <c r="A306">
        <v>305</v>
      </c>
      <c r="B306" s="103" t="s">
        <v>447</v>
      </c>
      <c r="C306" s="119" t="s">
        <v>493</v>
      </c>
    </row>
    <row r="307" spans="1:4" ht="15.75" x14ac:dyDescent="0.25">
      <c r="A307">
        <v>306</v>
      </c>
      <c r="B307" s="103" t="s">
        <v>448</v>
      </c>
      <c r="C307" s="119" t="s">
        <v>461</v>
      </c>
    </row>
    <row r="308" spans="1:4" ht="15.75" x14ac:dyDescent="0.25">
      <c r="A308">
        <v>307</v>
      </c>
      <c r="B308" s="108" t="s">
        <v>449</v>
      </c>
      <c r="C308" s="119" t="s">
        <v>294</v>
      </c>
    </row>
    <row r="309" spans="1:4" ht="15.75" x14ac:dyDescent="0.25">
      <c r="A309">
        <v>308</v>
      </c>
      <c r="B309" s="108" t="s">
        <v>450</v>
      </c>
      <c r="C309" s="119" t="s">
        <v>309</v>
      </c>
    </row>
    <row r="310" spans="1:4" ht="15.75" x14ac:dyDescent="0.25">
      <c r="A310">
        <v>309</v>
      </c>
      <c r="B310" s="103" t="s">
        <v>451</v>
      </c>
      <c r="C310" s="119" t="s">
        <v>344</v>
      </c>
    </row>
    <row r="311" spans="1:4" ht="15.75" x14ac:dyDescent="0.25">
      <c r="A311">
        <v>310</v>
      </c>
      <c r="B311" s="103" t="s">
        <v>452</v>
      </c>
      <c r="C311" s="119" t="s">
        <v>259</v>
      </c>
    </row>
    <row r="312" spans="1:4" ht="15.75" x14ac:dyDescent="0.25">
      <c r="A312">
        <v>311</v>
      </c>
      <c r="B312" s="108" t="s">
        <v>453</v>
      </c>
      <c r="C312" s="119" t="s">
        <v>395</v>
      </c>
    </row>
    <row r="313" spans="1:4" ht="15.75" x14ac:dyDescent="0.25">
      <c r="A313">
        <v>312</v>
      </c>
      <c r="B313" s="103" t="s">
        <v>454</v>
      </c>
      <c r="C313" s="119" t="s">
        <v>366</v>
      </c>
    </row>
    <row r="314" spans="1:4" ht="15.75" x14ac:dyDescent="0.25">
      <c r="A314">
        <v>313</v>
      </c>
      <c r="B314" s="104" t="s">
        <v>423</v>
      </c>
      <c r="C314" s="119" t="s">
        <v>453</v>
      </c>
    </row>
    <row r="315" spans="1:4" ht="15.75" x14ac:dyDescent="0.25">
      <c r="A315">
        <v>314</v>
      </c>
      <c r="B315" s="104" t="s">
        <v>424</v>
      </c>
      <c r="C315" s="119" t="s">
        <v>359</v>
      </c>
    </row>
    <row r="316" spans="1:4" ht="15.75" x14ac:dyDescent="0.25">
      <c r="A316">
        <v>315</v>
      </c>
      <c r="B316" s="104" t="s">
        <v>274</v>
      </c>
      <c r="C316" s="119" t="s">
        <v>485</v>
      </c>
      <c r="D316">
        <v>1</v>
      </c>
    </row>
    <row r="317" spans="1:4" ht="15.75" x14ac:dyDescent="0.25">
      <c r="A317">
        <v>316</v>
      </c>
      <c r="B317" s="104" t="s">
        <v>455</v>
      </c>
      <c r="C317" s="119" t="s">
        <v>424</v>
      </c>
      <c r="D317">
        <v>2</v>
      </c>
    </row>
    <row r="318" spans="1:4" ht="15.75" x14ac:dyDescent="0.25">
      <c r="A318">
        <v>317</v>
      </c>
      <c r="B318" s="103" t="s">
        <v>277</v>
      </c>
      <c r="C318" s="119" t="s">
        <v>424</v>
      </c>
      <c r="D318">
        <v>3</v>
      </c>
    </row>
    <row r="319" spans="1:4" ht="15.75" x14ac:dyDescent="0.25">
      <c r="A319">
        <v>318</v>
      </c>
      <c r="B319" s="103" t="s">
        <v>278</v>
      </c>
      <c r="C319" s="119" t="s">
        <v>424</v>
      </c>
      <c r="D319">
        <v>4</v>
      </c>
    </row>
    <row r="320" spans="1:4" ht="15.75" x14ac:dyDescent="0.25">
      <c r="A320">
        <v>319</v>
      </c>
      <c r="B320" s="103" t="s">
        <v>279</v>
      </c>
      <c r="C320" s="119" t="s">
        <v>424</v>
      </c>
      <c r="D320">
        <v>5</v>
      </c>
    </row>
    <row r="321" spans="1:4" ht="15.75" x14ac:dyDescent="0.25">
      <c r="A321">
        <v>320</v>
      </c>
      <c r="B321" s="103" t="s">
        <v>370</v>
      </c>
      <c r="C321" s="119" t="s">
        <v>424</v>
      </c>
      <c r="D321">
        <v>6</v>
      </c>
    </row>
    <row r="322" spans="1:4" ht="15.75" x14ac:dyDescent="0.25">
      <c r="A322">
        <v>321</v>
      </c>
      <c r="B322" s="104" t="s">
        <v>312</v>
      </c>
      <c r="C322" s="119" t="s">
        <v>331</v>
      </c>
      <c r="D322">
        <v>7</v>
      </c>
    </row>
    <row r="323" spans="1:4" ht="15.75" x14ac:dyDescent="0.25">
      <c r="A323">
        <v>322</v>
      </c>
      <c r="B323" s="104" t="s">
        <v>284</v>
      </c>
      <c r="C323" s="119" t="s">
        <v>415</v>
      </c>
      <c r="D323">
        <v>8</v>
      </c>
    </row>
    <row r="324" spans="1:4" ht="15.75" x14ac:dyDescent="0.25">
      <c r="A324">
        <v>323</v>
      </c>
      <c r="B324" s="104" t="s">
        <v>285</v>
      </c>
      <c r="C324" s="119" t="s">
        <v>463</v>
      </c>
      <c r="D324">
        <v>9</v>
      </c>
    </row>
    <row r="325" spans="1:4" ht="15.75" x14ac:dyDescent="0.25">
      <c r="A325">
        <v>324</v>
      </c>
      <c r="B325" s="104" t="s">
        <v>313</v>
      </c>
      <c r="C325" s="119" t="s">
        <v>536</v>
      </c>
      <c r="D325">
        <v>10</v>
      </c>
    </row>
    <row r="326" spans="1:4" ht="15.75" x14ac:dyDescent="0.25">
      <c r="A326">
        <v>325</v>
      </c>
      <c r="B326" s="104" t="s">
        <v>287</v>
      </c>
      <c r="C326" s="119" t="s">
        <v>516</v>
      </c>
      <c r="D326">
        <v>11</v>
      </c>
    </row>
    <row r="327" spans="1:4" ht="15.75" x14ac:dyDescent="0.25">
      <c r="A327">
        <v>326</v>
      </c>
      <c r="B327" s="103" t="s">
        <v>288</v>
      </c>
      <c r="C327" s="119" t="s">
        <v>386</v>
      </c>
      <c r="D327">
        <v>12</v>
      </c>
    </row>
    <row r="328" spans="1:4" ht="15.75" x14ac:dyDescent="0.25">
      <c r="A328">
        <v>327</v>
      </c>
      <c r="B328" s="103" t="s">
        <v>431</v>
      </c>
      <c r="C328" s="119" t="s">
        <v>351</v>
      </c>
      <c r="D328">
        <v>1</v>
      </c>
    </row>
    <row r="329" spans="1:4" ht="15.75" x14ac:dyDescent="0.25">
      <c r="A329">
        <v>328</v>
      </c>
      <c r="B329" s="103" t="s">
        <v>455</v>
      </c>
      <c r="C329" s="119" t="s">
        <v>351</v>
      </c>
      <c r="D329">
        <v>2</v>
      </c>
    </row>
    <row r="330" spans="1:4" ht="15.75" x14ac:dyDescent="0.25">
      <c r="A330">
        <v>329</v>
      </c>
      <c r="B330" s="103" t="s">
        <v>456</v>
      </c>
      <c r="C330" s="119" t="s">
        <v>351</v>
      </c>
      <c r="D330">
        <v>3</v>
      </c>
    </row>
    <row r="331" spans="1:4" ht="15.75" x14ac:dyDescent="0.25">
      <c r="A331">
        <v>330</v>
      </c>
      <c r="B331" s="103" t="s">
        <v>351</v>
      </c>
      <c r="C331" s="119" t="s">
        <v>351</v>
      </c>
      <c r="D331">
        <v>4</v>
      </c>
    </row>
    <row r="332" spans="1:4" ht="15.75" x14ac:dyDescent="0.25">
      <c r="A332">
        <v>331</v>
      </c>
      <c r="B332" s="103" t="s">
        <v>323</v>
      </c>
      <c r="C332" s="119" t="s">
        <v>399</v>
      </c>
      <c r="D332">
        <v>5</v>
      </c>
    </row>
    <row r="333" spans="1:4" ht="15.75" x14ac:dyDescent="0.25">
      <c r="A333">
        <v>332</v>
      </c>
      <c r="B333" s="103" t="s">
        <v>457</v>
      </c>
      <c r="C333" s="119" t="s">
        <v>253</v>
      </c>
      <c r="D333">
        <v>6</v>
      </c>
    </row>
    <row r="334" spans="1:4" ht="15.75" x14ac:dyDescent="0.25">
      <c r="A334">
        <v>333</v>
      </c>
      <c r="B334" s="103" t="s">
        <v>458</v>
      </c>
      <c r="C334" s="119" t="s">
        <v>265</v>
      </c>
      <c r="D334">
        <v>7</v>
      </c>
    </row>
    <row r="335" spans="1:4" ht="15.75" x14ac:dyDescent="0.25">
      <c r="A335">
        <v>334</v>
      </c>
      <c r="B335" s="103" t="s">
        <v>459</v>
      </c>
      <c r="C335" s="119" t="s">
        <v>265</v>
      </c>
      <c r="D335">
        <v>8</v>
      </c>
    </row>
    <row r="336" spans="1:4" ht="15.75" x14ac:dyDescent="0.25">
      <c r="A336">
        <v>335</v>
      </c>
      <c r="B336" s="103" t="s">
        <v>405</v>
      </c>
      <c r="C336" s="119" t="s">
        <v>265</v>
      </c>
      <c r="D336">
        <v>9</v>
      </c>
    </row>
    <row r="337" spans="1:4" ht="15.75" x14ac:dyDescent="0.25">
      <c r="A337">
        <v>336</v>
      </c>
      <c r="B337" s="103" t="s">
        <v>321</v>
      </c>
      <c r="C337" s="119" t="s">
        <v>265</v>
      </c>
      <c r="D337">
        <v>10</v>
      </c>
    </row>
    <row r="338" spans="1:4" ht="15.75" x14ac:dyDescent="0.25">
      <c r="A338">
        <v>337</v>
      </c>
      <c r="B338" s="103" t="s">
        <v>460</v>
      </c>
      <c r="C338" s="119" t="s">
        <v>265</v>
      </c>
      <c r="D338">
        <v>11</v>
      </c>
    </row>
    <row r="339" spans="1:4" ht="15.75" x14ac:dyDescent="0.25">
      <c r="A339">
        <v>338</v>
      </c>
      <c r="B339" s="104" t="s">
        <v>461</v>
      </c>
      <c r="C339" s="119" t="s">
        <v>265</v>
      </c>
      <c r="D339">
        <v>12</v>
      </c>
    </row>
    <row r="340" spans="1:4" ht="15.75" x14ac:dyDescent="0.25">
      <c r="A340">
        <v>339</v>
      </c>
      <c r="B340" s="104" t="s">
        <v>265</v>
      </c>
      <c r="C340" s="119" t="s">
        <v>265</v>
      </c>
      <c r="D340">
        <v>13</v>
      </c>
    </row>
    <row r="341" spans="1:4" ht="15.75" x14ac:dyDescent="0.25">
      <c r="A341">
        <v>340</v>
      </c>
      <c r="B341" s="104" t="s">
        <v>267</v>
      </c>
      <c r="C341" s="119" t="s">
        <v>265</v>
      </c>
      <c r="D341">
        <v>14</v>
      </c>
    </row>
    <row r="342" spans="1:4" ht="15.75" x14ac:dyDescent="0.25">
      <c r="A342">
        <v>341</v>
      </c>
      <c r="B342" s="104" t="s">
        <v>266</v>
      </c>
      <c r="C342" s="119" t="s">
        <v>265</v>
      </c>
      <c r="D342">
        <v>15</v>
      </c>
    </row>
    <row r="343" spans="1:4" ht="15.75" x14ac:dyDescent="0.25">
      <c r="A343">
        <v>342</v>
      </c>
      <c r="B343" s="104" t="s">
        <v>329</v>
      </c>
      <c r="C343" s="119" t="s">
        <v>265</v>
      </c>
      <c r="D343">
        <v>16</v>
      </c>
    </row>
    <row r="344" spans="1:4" ht="15.75" x14ac:dyDescent="0.25">
      <c r="A344">
        <v>343</v>
      </c>
      <c r="B344" s="108" t="s">
        <v>265</v>
      </c>
      <c r="C344" s="119" t="s">
        <v>265</v>
      </c>
      <c r="D344">
        <v>17</v>
      </c>
    </row>
    <row r="345" spans="1:4" ht="15.75" x14ac:dyDescent="0.25">
      <c r="A345">
        <v>344</v>
      </c>
      <c r="B345" s="103" t="s">
        <v>462</v>
      </c>
      <c r="C345" s="119" t="s">
        <v>265</v>
      </c>
      <c r="D345">
        <v>18</v>
      </c>
    </row>
    <row r="346" spans="1:4" ht="15.75" x14ac:dyDescent="0.25">
      <c r="A346">
        <v>345</v>
      </c>
      <c r="B346" s="103" t="s">
        <v>463</v>
      </c>
      <c r="C346" s="119" t="s">
        <v>265</v>
      </c>
      <c r="D346">
        <v>19</v>
      </c>
    </row>
    <row r="347" spans="1:4" ht="15.75" x14ac:dyDescent="0.25">
      <c r="A347">
        <v>346</v>
      </c>
      <c r="B347" s="103" t="s">
        <v>464</v>
      </c>
      <c r="C347" s="119" t="s">
        <v>265</v>
      </c>
      <c r="D347">
        <v>20</v>
      </c>
    </row>
    <row r="348" spans="1:4" ht="15.75" x14ac:dyDescent="0.25">
      <c r="A348">
        <v>347</v>
      </c>
      <c r="B348" s="108" t="s">
        <v>450</v>
      </c>
      <c r="C348" s="119" t="s">
        <v>265</v>
      </c>
      <c r="D348">
        <v>21</v>
      </c>
    </row>
    <row r="349" spans="1:4" ht="15.75" x14ac:dyDescent="0.25">
      <c r="A349">
        <v>348</v>
      </c>
      <c r="B349" s="103" t="s">
        <v>465</v>
      </c>
      <c r="C349" s="119" t="s">
        <v>265</v>
      </c>
      <c r="D349">
        <v>22</v>
      </c>
    </row>
    <row r="350" spans="1:4" ht="15.75" x14ac:dyDescent="0.25">
      <c r="A350">
        <v>349</v>
      </c>
      <c r="B350" s="103" t="s">
        <v>466</v>
      </c>
      <c r="C350" s="119" t="s">
        <v>265</v>
      </c>
      <c r="D350">
        <v>23</v>
      </c>
    </row>
    <row r="351" spans="1:4" ht="15.75" x14ac:dyDescent="0.25">
      <c r="A351">
        <v>350</v>
      </c>
      <c r="B351" s="108" t="s">
        <v>467</v>
      </c>
      <c r="C351" s="119" t="s">
        <v>261</v>
      </c>
      <c r="D351">
        <v>24</v>
      </c>
    </row>
    <row r="352" spans="1:4" ht="15.75" x14ac:dyDescent="0.25">
      <c r="A352">
        <v>351</v>
      </c>
      <c r="B352" s="110" t="s">
        <v>468</v>
      </c>
      <c r="C352" s="119" t="s">
        <v>261</v>
      </c>
      <c r="D352">
        <v>25</v>
      </c>
    </row>
    <row r="353" spans="1:4" ht="15.75" x14ac:dyDescent="0.25">
      <c r="A353">
        <v>352</v>
      </c>
      <c r="B353" s="104" t="s">
        <v>423</v>
      </c>
      <c r="C353" s="119" t="s">
        <v>261</v>
      </c>
      <c r="D353">
        <v>26</v>
      </c>
    </row>
    <row r="354" spans="1:4" ht="15.75" x14ac:dyDescent="0.25">
      <c r="A354">
        <v>353</v>
      </c>
      <c r="B354" s="104" t="s">
        <v>424</v>
      </c>
      <c r="C354" s="119" t="s">
        <v>261</v>
      </c>
      <c r="D354">
        <v>27</v>
      </c>
    </row>
    <row r="355" spans="1:4" ht="15.75" x14ac:dyDescent="0.25">
      <c r="A355">
        <v>354</v>
      </c>
      <c r="B355" s="104" t="s">
        <v>274</v>
      </c>
      <c r="C355" s="119" t="s">
        <v>277</v>
      </c>
      <c r="D355">
        <v>28</v>
      </c>
    </row>
    <row r="356" spans="1:4" ht="15.75" x14ac:dyDescent="0.25">
      <c r="A356">
        <v>355</v>
      </c>
      <c r="B356" s="104" t="s">
        <v>469</v>
      </c>
      <c r="C356" s="119" t="s">
        <v>277</v>
      </c>
      <c r="D356">
        <v>29</v>
      </c>
    </row>
    <row r="357" spans="1:4" ht="15.75" x14ac:dyDescent="0.25">
      <c r="A357">
        <v>356</v>
      </c>
      <c r="B357" s="103" t="s">
        <v>277</v>
      </c>
      <c r="C357" s="119" t="s">
        <v>312</v>
      </c>
      <c r="D357">
        <v>30</v>
      </c>
    </row>
    <row r="358" spans="1:4" ht="15.75" x14ac:dyDescent="0.25">
      <c r="A358">
        <v>357</v>
      </c>
      <c r="B358" s="103" t="s">
        <v>278</v>
      </c>
      <c r="C358" s="119" t="s">
        <v>277</v>
      </c>
      <c r="D358">
        <v>31</v>
      </c>
    </row>
    <row r="359" spans="1:4" ht="15.75" x14ac:dyDescent="0.25">
      <c r="A359">
        <v>358</v>
      </c>
      <c r="B359" s="103" t="s">
        <v>279</v>
      </c>
      <c r="C359" s="119" t="s">
        <v>312</v>
      </c>
      <c r="D359">
        <v>32</v>
      </c>
    </row>
    <row r="360" spans="1:4" ht="15.75" x14ac:dyDescent="0.25">
      <c r="A360">
        <v>359</v>
      </c>
      <c r="B360" s="103" t="s">
        <v>341</v>
      </c>
      <c r="C360" s="119" t="s">
        <v>277</v>
      </c>
      <c r="D360">
        <v>33</v>
      </c>
    </row>
    <row r="361" spans="1:4" ht="15.75" x14ac:dyDescent="0.25">
      <c r="A361">
        <v>360</v>
      </c>
      <c r="B361" s="104" t="s">
        <v>312</v>
      </c>
      <c r="C361" s="119" t="s">
        <v>312</v>
      </c>
      <c r="D361">
        <v>34</v>
      </c>
    </row>
    <row r="362" spans="1:4" ht="15.75" x14ac:dyDescent="0.25">
      <c r="A362">
        <v>361</v>
      </c>
      <c r="B362" s="104" t="s">
        <v>284</v>
      </c>
      <c r="C362" s="119" t="s">
        <v>277</v>
      </c>
      <c r="D362">
        <v>35</v>
      </c>
    </row>
    <row r="363" spans="1:4" ht="15.75" x14ac:dyDescent="0.25">
      <c r="A363">
        <v>362</v>
      </c>
      <c r="B363" s="104" t="s">
        <v>285</v>
      </c>
      <c r="C363" s="119" t="s">
        <v>312</v>
      </c>
      <c r="D363">
        <v>36</v>
      </c>
    </row>
    <row r="364" spans="1:4" ht="15.75" x14ac:dyDescent="0.25">
      <c r="A364">
        <v>363</v>
      </c>
      <c r="B364" s="104" t="s">
        <v>313</v>
      </c>
      <c r="C364" s="119" t="s">
        <v>277</v>
      </c>
      <c r="D364">
        <v>37</v>
      </c>
    </row>
    <row r="365" spans="1:4" ht="15.75" x14ac:dyDescent="0.25">
      <c r="A365">
        <v>364</v>
      </c>
      <c r="B365" s="104" t="s">
        <v>287</v>
      </c>
      <c r="C365" s="119" t="s">
        <v>312</v>
      </c>
      <c r="D365">
        <v>38</v>
      </c>
    </row>
    <row r="366" spans="1:4" ht="15.75" x14ac:dyDescent="0.25">
      <c r="A366">
        <v>365</v>
      </c>
      <c r="B366" s="104" t="s">
        <v>314</v>
      </c>
      <c r="C366" s="119" t="s">
        <v>277</v>
      </c>
      <c r="D366">
        <v>39</v>
      </c>
    </row>
    <row r="367" spans="1:4" ht="15.75" x14ac:dyDescent="0.25">
      <c r="A367">
        <v>366</v>
      </c>
      <c r="B367" s="103" t="s">
        <v>470</v>
      </c>
      <c r="C367" s="119" t="s">
        <v>312</v>
      </c>
      <c r="D367">
        <v>40</v>
      </c>
    </row>
    <row r="368" spans="1:4" ht="15.75" x14ac:dyDescent="0.25">
      <c r="A368">
        <v>367</v>
      </c>
      <c r="B368" s="103" t="s">
        <v>471</v>
      </c>
      <c r="C368" s="119" t="s">
        <v>277</v>
      </c>
      <c r="D368">
        <v>41</v>
      </c>
    </row>
    <row r="369" spans="1:4" ht="15.75" x14ac:dyDescent="0.25">
      <c r="A369">
        <v>368</v>
      </c>
      <c r="B369" s="103" t="s">
        <v>472</v>
      </c>
      <c r="C369" s="119" t="s">
        <v>312</v>
      </c>
      <c r="D369">
        <v>42</v>
      </c>
    </row>
    <row r="370" spans="1:4" ht="15.75" x14ac:dyDescent="0.25">
      <c r="A370">
        <v>369</v>
      </c>
      <c r="B370" s="103" t="s">
        <v>473</v>
      </c>
      <c r="C370" s="119" t="s">
        <v>277</v>
      </c>
      <c r="D370">
        <v>43</v>
      </c>
    </row>
    <row r="371" spans="1:4" ht="15.75" x14ac:dyDescent="0.25">
      <c r="A371">
        <v>370</v>
      </c>
      <c r="B371" s="103" t="s">
        <v>474</v>
      </c>
      <c r="C371" s="119" t="s">
        <v>312</v>
      </c>
      <c r="D371">
        <v>44</v>
      </c>
    </row>
    <row r="372" spans="1:4" ht="15.75" x14ac:dyDescent="0.25">
      <c r="A372">
        <v>371</v>
      </c>
      <c r="B372" s="104" t="s">
        <v>475</v>
      </c>
      <c r="C372" s="119" t="s">
        <v>277</v>
      </c>
      <c r="D372">
        <v>45</v>
      </c>
    </row>
    <row r="373" spans="1:4" ht="15.75" x14ac:dyDescent="0.25">
      <c r="A373">
        <v>372</v>
      </c>
      <c r="B373" s="104" t="s">
        <v>476</v>
      </c>
      <c r="C373" s="119" t="s">
        <v>312</v>
      </c>
      <c r="D373">
        <v>46</v>
      </c>
    </row>
    <row r="374" spans="1:4" ht="15.75" x14ac:dyDescent="0.25">
      <c r="A374">
        <v>373</v>
      </c>
      <c r="B374" s="104" t="s">
        <v>477</v>
      </c>
      <c r="C374" s="119" t="s">
        <v>515</v>
      </c>
      <c r="D374">
        <v>47</v>
      </c>
    </row>
    <row r="375" spans="1:4" ht="15.75" x14ac:dyDescent="0.25">
      <c r="A375">
        <v>374</v>
      </c>
      <c r="B375" s="104" t="s">
        <v>478</v>
      </c>
      <c r="C375" s="119" t="s">
        <v>413</v>
      </c>
      <c r="D375">
        <v>48</v>
      </c>
    </row>
    <row r="376" spans="1:4" ht="15.75" x14ac:dyDescent="0.25">
      <c r="A376">
        <v>375</v>
      </c>
      <c r="B376" s="111" t="s">
        <v>479</v>
      </c>
      <c r="C376" s="119" t="s">
        <v>288</v>
      </c>
      <c r="D376">
        <v>49</v>
      </c>
    </row>
    <row r="377" spans="1:4" ht="15.75" x14ac:dyDescent="0.25">
      <c r="A377">
        <v>376</v>
      </c>
      <c r="B377" s="103" t="s">
        <v>480</v>
      </c>
      <c r="C377" s="119" t="s">
        <v>288</v>
      </c>
      <c r="D377">
        <v>50</v>
      </c>
    </row>
    <row r="378" spans="1:4" ht="15.75" x14ac:dyDescent="0.25">
      <c r="A378">
        <v>377</v>
      </c>
      <c r="B378" s="103" t="s">
        <v>362</v>
      </c>
      <c r="C378" s="119" t="s">
        <v>430</v>
      </c>
      <c r="D378">
        <v>51</v>
      </c>
    </row>
    <row r="379" spans="1:4" ht="15.75" x14ac:dyDescent="0.25">
      <c r="A379">
        <v>378</v>
      </c>
      <c r="B379" s="103" t="s">
        <v>481</v>
      </c>
      <c r="C379" s="119" t="s">
        <v>483</v>
      </c>
      <c r="D379">
        <v>52</v>
      </c>
    </row>
    <row r="380" spans="1:4" ht="15.75" x14ac:dyDescent="0.25">
      <c r="A380">
        <v>379</v>
      </c>
      <c r="B380" s="103" t="s">
        <v>264</v>
      </c>
      <c r="C380" s="119" t="s">
        <v>381</v>
      </c>
      <c r="D380">
        <v>53</v>
      </c>
    </row>
    <row r="381" spans="1:4" ht="15.75" x14ac:dyDescent="0.25">
      <c r="A381">
        <v>380</v>
      </c>
      <c r="B381" s="103" t="s">
        <v>482</v>
      </c>
      <c r="C381" s="119" t="s">
        <v>423</v>
      </c>
      <c r="D381">
        <v>54</v>
      </c>
    </row>
    <row r="382" spans="1:4" ht="15.75" x14ac:dyDescent="0.25">
      <c r="A382">
        <v>381</v>
      </c>
      <c r="B382" s="104" t="s">
        <v>265</v>
      </c>
      <c r="C382" s="119" t="s">
        <v>423</v>
      </c>
      <c r="D382">
        <v>55</v>
      </c>
    </row>
    <row r="383" spans="1:4" ht="15.75" x14ac:dyDescent="0.25">
      <c r="A383">
        <v>382</v>
      </c>
      <c r="B383" s="104" t="s">
        <v>267</v>
      </c>
      <c r="C383" s="119" t="s">
        <v>423</v>
      </c>
      <c r="D383">
        <v>56</v>
      </c>
    </row>
    <row r="384" spans="1:4" ht="15.75" x14ac:dyDescent="0.25">
      <c r="A384">
        <v>383</v>
      </c>
      <c r="B384" s="104" t="s">
        <v>266</v>
      </c>
      <c r="C384" s="119" t="s">
        <v>423</v>
      </c>
      <c r="D384">
        <v>57</v>
      </c>
    </row>
    <row r="385" spans="1:4" ht="15.75" x14ac:dyDescent="0.25">
      <c r="A385">
        <v>384</v>
      </c>
      <c r="B385" s="104" t="s">
        <v>329</v>
      </c>
      <c r="C385" s="119" t="s">
        <v>423</v>
      </c>
      <c r="D385">
        <v>58</v>
      </c>
    </row>
    <row r="386" spans="1:4" ht="15.75" x14ac:dyDescent="0.25">
      <c r="A386">
        <v>385</v>
      </c>
      <c r="B386" s="108" t="s">
        <v>483</v>
      </c>
      <c r="C386" s="119" t="s">
        <v>281</v>
      </c>
      <c r="D386">
        <v>59</v>
      </c>
    </row>
    <row r="387" spans="1:4" ht="15.75" x14ac:dyDescent="0.25">
      <c r="A387">
        <v>386</v>
      </c>
      <c r="B387" s="103" t="s">
        <v>484</v>
      </c>
      <c r="C387" s="119" t="s">
        <v>304</v>
      </c>
      <c r="D387">
        <v>60</v>
      </c>
    </row>
    <row r="388" spans="1:4" ht="15.75" x14ac:dyDescent="0.25">
      <c r="A388">
        <v>387</v>
      </c>
      <c r="B388" s="103" t="s">
        <v>471</v>
      </c>
      <c r="C388" s="119" t="s">
        <v>330</v>
      </c>
      <c r="D388">
        <v>61</v>
      </c>
    </row>
    <row r="389" spans="1:4" ht="15.75" x14ac:dyDescent="0.25">
      <c r="A389">
        <v>388</v>
      </c>
      <c r="B389" s="103" t="s">
        <v>485</v>
      </c>
      <c r="C389" s="119" t="s">
        <v>446</v>
      </c>
      <c r="D389">
        <v>62</v>
      </c>
    </row>
    <row r="390" spans="1:4" ht="15.75" x14ac:dyDescent="0.25">
      <c r="A390">
        <v>389</v>
      </c>
      <c r="B390" s="103" t="s">
        <v>486</v>
      </c>
      <c r="C390" s="119" t="s">
        <v>285</v>
      </c>
      <c r="D390">
        <v>1</v>
      </c>
    </row>
    <row r="391" spans="1:4" ht="15.75" x14ac:dyDescent="0.25">
      <c r="A391">
        <v>390</v>
      </c>
      <c r="B391" s="108" t="s">
        <v>487</v>
      </c>
      <c r="C391" s="119" t="s">
        <v>285</v>
      </c>
      <c r="D391">
        <v>2</v>
      </c>
    </row>
    <row r="392" spans="1:4" ht="15.75" x14ac:dyDescent="0.25">
      <c r="A392">
        <v>391</v>
      </c>
      <c r="B392" s="103" t="s">
        <v>488</v>
      </c>
      <c r="C392" s="119" t="s">
        <v>285</v>
      </c>
      <c r="D392">
        <v>3</v>
      </c>
    </row>
    <row r="393" spans="1:4" ht="15.75" x14ac:dyDescent="0.25">
      <c r="A393">
        <v>392</v>
      </c>
      <c r="B393" s="103" t="s">
        <v>489</v>
      </c>
      <c r="C393" s="119" t="s">
        <v>285</v>
      </c>
      <c r="D393">
        <v>4</v>
      </c>
    </row>
    <row r="394" spans="1:4" ht="15.75" x14ac:dyDescent="0.25">
      <c r="A394">
        <v>393</v>
      </c>
      <c r="B394" s="103" t="s">
        <v>490</v>
      </c>
      <c r="C394" s="119" t="s">
        <v>285</v>
      </c>
      <c r="D394">
        <v>5</v>
      </c>
    </row>
    <row r="395" spans="1:4" ht="15.75" x14ac:dyDescent="0.25">
      <c r="A395">
        <v>394</v>
      </c>
      <c r="B395" s="108" t="s">
        <v>491</v>
      </c>
      <c r="C395" s="119" t="s">
        <v>285</v>
      </c>
      <c r="D395">
        <v>6</v>
      </c>
    </row>
    <row r="396" spans="1:4" ht="15.75" x14ac:dyDescent="0.25">
      <c r="A396">
        <v>395</v>
      </c>
      <c r="B396" s="103" t="s">
        <v>492</v>
      </c>
      <c r="C396" s="119" t="s">
        <v>285</v>
      </c>
      <c r="D396">
        <v>7</v>
      </c>
    </row>
    <row r="397" spans="1:4" ht="15.75" x14ac:dyDescent="0.25">
      <c r="A397">
        <v>396</v>
      </c>
      <c r="B397" s="103" t="s">
        <v>493</v>
      </c>
      <c r="C397" s="119" t="s">
        <v>285</v>
      </c>
      <c r="D397">
        <v>8</v>
      </c>
    </row>
    <row r="398" spans="1:4" ht="15.75" x14ac:dyDescent="0.25">
      <c r="A398">
        <v>397</v>
      </c>
      <c r="B398" s="110" t="s">
        <v>494</v>
      </c>
      <c r="C398" s="119" t="s">
        <v>285</v>
      </c>
      <c r="D398">
        <v>9</v>
      </c>
    </row>
    <row r="399" spans="1:4" ht="15.75" x14ac:dyDescent="0.25">
      <c r="A399">
        <v>398</v>
      </c>
      <c r="B399" s="103" t="s">
        <v>495</v>
      </c>
      <c r="C399" s="119" t="s">
        <v>285</v>
      </c>
      <c r="D399">
        <v>10</v>
      </c>
    </row>
    <row r="400" spans="1:4" ht="15.75" x14ac:dyDescent="0.25">
      <c r="A400">
        <v>399</v>
      </c>
      <c r="B400" s="103" t="s">
        <v>496</v>
      </c>
      <c r="C400" s="119" t="s">
        <v>416</v>
      </c>
    </row>
    <row r="401" spans="1:4" ht="15.75" x14ac:dyDescent="0.25">
      <c r="A401">
        <v>400</v>
      </c>
      <c r="B401" s="104" t="s">
        <v>423</v>
      </c>
      <c r="C401" s="119" t="s">
        <v>514</v>
      </c>
      <c r="D401">
        <v>63</v>
      </c>
    </row>
    <row r="402" spans="1:4" ht="15.75" x14ac:dyDescent="0.25">
      <c r="A402">
        <v>401</v>
      </c>
      <c r="B402" s="104" t="s">
        <v>424</v>
      </c>
      <c r="C402" s="119" t="s">
        <v>387</v>
      </c>
    </row>
    <row r="403" spans="1:4" ht="15.75" x14ac:dyDescent="0.25">
      <c r="A403">
        <v>402</v>
      </c>
      <c r="B403" s="104" t="s">
        <v>274</v>
      </c>
      <c r="C403" s="119" t="s">
        <v>479</v>
      </c>
    </row>
    <row r="404" spans="1:4" ht="15.75" x14ac:dyDescent="0.25">
      <c r="A404">
        <v>403</v>
      </c>
      <c r="B404" s="104" t="s">
        <v>497</v>
      </c>
      <c r="C404" s="119" t="s">
        <v>486</v>
      </c>
      <c r="D404" t="s">
        <v>526</v>
      </c>
    </row>
    <row r="405" spans="1:4" ht="15.75" x14ac:dyDescent="0.25">
      <c r="A405">
        <v>404</v>
      </c>
      <c r="B405" s="103" t="s">
        <v>277</v>
      </c>
      <c r="C405" s="119" t="s">
        <v>274</v>
      </c>
      <c r="D405">
        <v>1</v>
      </c>
    </row>
    <row r="406" spans="1:4" ht="15.75" x14ac:dyDescent="0.25">
      <c r="A406">
        <v>405</v>
      </c>
      <c r="B406" s="103" t="s">
        <v>278</v>
      </c>
      <c r="C406" s="119" t="s">
        <v>274</v>
      </c>
      <c r="D406">
        <v>2</v>
      </c>
    </row>
    <row r="407" spans="1:4" ht="15.75" x14ac:dyDescent="0.25">
      <c r="A407">
        <v>406</v>
      </c>
      <c r="B407" s="103" t="s">
        <v>279</v>
      </c>
      <c r="C407" s="119" t="s">
        <v>274</v>
      </c>
      <c r="D407">
        <v>3</v>
      </c>
    </row>
    <row r="408" spans="1:4" ht="15.75" x14ac:dyDescent="0.25">
      <c r="A408">
        <v>407</v>
      </c>
      <c r="B408" s="103" t="s">
        <v>370</v>
      </c>
      <c r="C408" s="119" t="s">
        <v>274</v>
      </c>
      <c r="D408">
        <v>4</v>
      </c>
    </row>
    <row r="409" spans="1:4" ht="15.75" x14ac:dyDescent="0.25">
      <c r="A409">
        <v>408</v>
      </c>
      <c r="B409" s="104" t="s">
        <v>312</v>
      </c>
      <c r="C409" s="119" t="s">
        <v>274</v>
      </c>
      <c r="D409">
        <v>5</v>
      </c>
    </row>
    <row r="410" spans="1:4" ht="15.75" x14ac:dyDescent="0.25">
      <c r="A410">
        <v>409</v>
      </c>
      <c r="B410" s="104" t="s">
        <v>284</v>
      </c>
      <c r="C410" s="119" t="s">
        <v>274</v>
      </c>
      <c r="D410">
        <v>6</v>
      </c>
    </row>
    <row r="411" spans="1:4" ht="15.75" x14ac:dyDescent="0.25">
      <c r="A411">
        <v>410</v>
      </c>
      <c r="B411" s="104" t="s">
        <v>285</v>
      </c>
      <c r="C411" s="119" t="s">
        <v>274</v>
      </c>
      <c r="D411">
        <v>7</v>
      </c>
    </row>
    <row r="412" spans="1:4" ht="15.75" x14ac:dyDescent="0.25">
      <c r="A412">
        <v>411</v>
      </c>
      <c r="B412" s="104" t="s">
        <v>313</v>
      </c>
      <c r="C412" s="119" t="s">
        <v>274</v>
      </c>
      <c r="D412">
        <v>8</v>
      </c>
    </row>
    <row r="413" spans="1:4" ht="15.75" x14ac:dyDescent="0.25">
      <c r="A413">
        <v>412</v>
      </c>
      <c r="B413" s="104" t="s">
        <v>287</v>
      </c>
      <c r="C413" s="119" t="s">
        <v>274</v>
      </c>
      <c r="D413">
        <v>9</v>
      </c>
    </row>
    <row r="414" spans="1:4" ht="15.75" x14ac:dyDescent="0.25">
      <c r="A414">
        <v>413</v>
      </c>
      <c r="B414" s="104" t="s">
        <v>314</v>
      </c>
      <c r="C414" s="119" t="s">
        <v>274</v>
      </c>
      <c r="D414">
        <v>10</v>
      </c>
    </row>
    <row r="415" spans="1:4" ht="15.75" x14ac:dyDescent="0.25">
      <c r="A415">
        <v>414</v>
      </c>
      <c r="B415" s="103" t="s">
        <v>498</v>
      </c>
      <c r="C415" s="119" t="s">
        <v>274</v>
      </c>
      <c r="D415">
        <v>11</v>
      </c>
    </row>
    <row r="416" spans="1:4" ht="15.75" x14ac:dyDescent="0.25">
      <c r="A416">
        <v>415</v>
      </c>
      <c r="B416" s="103" t="s">
        <v>471</v>
      </c>
      <c r="C416" s="119" t="s">
        <v>473</v>
      </c>
      <c r="D416">
        <v>12</v>
      </c>
    </row>
    <row r="417" spans="1:4" ht="15.75" x14ac:dyDescent="0.25">
      <c r="A417">
        <v>416</v>
      </c>
      <c r="B417" s="103" t="s">
        <v>499</v>
      </c>
      <c r="C417" s="119" t="s">
        <v>306</v>
      </c>
      <c r="D417">
        <v>13</v>
      </c>
    </row>
    <row r="418" spans="1:4" ht="15.75" x14ac:dyDescent="0.25">
      <c r="A418">
        <v>417</v>
      </c>
      <c r="B418" s="103" t="s">
        <v>431</v>
      </c>
      <c r="C418" s="119" t="s">
        <v>306</v>
      </c>
      <c r="D418">
        <v>14</v>
      </c>
    </row>
    <row r="419" spans="1:4" ht="15.75" x14ac:dyDescent="0.25">
      <c r="A419">
        <v>418</v>
      </c>
      <c r="B419" s="103" t="s">
        <v>500</v>
      </c>
      <c r="C419" s="119" t="s">
        <v>487</v>
      </c>
      <c r="D419">
        <v>15</v>
      </c>
    </row>
    <row r="420" spans="1:4" ht="15.75" x14ac:dyDescent="0.25">
      <c r="A420">
        <v>419</v>
      </c>
      <c r="B420" s="103" t="s">
        <v>501</v>
      </c>
      <c r="C420" s="119" t="s">
        <v>378</v>
      </c>
      <c r="D420">
        <v>16</v>
      </c>
    </row>
    <row r="421" spans="1:4" ht="15.75" x14ac:dyDescent="0.25">
      <c r="A421">
        <v>420</v>
      </c>
      <c r="B421" s="103" t="s">
        <v>502</v>
      </c>
      <c r="C421" s="125" t="s">
        <v>378</v>
      </c>
      <c r="D421">
        <v>17</v>
      </c>
    </row>
    <row r="422" spans="1:4" ht="15.75" x14ac:dyDescent="0.25">
      <c r="A422">
        <v>421</v>
      </c>
      <c r="B422" s="103" t="s">
        <v>275</v>
      </c>
      <c r="C422" s="119" t="s">
        <v>347</v>
      </c>
      <c r="D422">
        <v>18</v>
      </c>
    </row>
    <row r="423" spans="1:4" ht="15.75" x14ac:dyDescent="0.25">
      <c r="A423">
        <v>422</v>
      </c>
      <c r="B423" s="103" t="s">
        <v>351</v>
      </c>
      <c r="C423" s="119" t="s">
        <v>509</v>
      </c>
      <c r="D423">
        <v>19</v>
      </c>
    </row>
    <row r="424" spans="1:4" ht="15.75" x14ac:dyDescent="0.25">
      <c r="A424">
        <v>423</v>
      </c>
      <c r="B424" s="106" t="s">
        <v>503</v>
      </c>
      <c r="C424" s="119" t="s">
        <v>456</v>
      </c>
      <c r="D424">
        <v>20</v>
      </c>
    </row>
    <row r="425" spans="1:4" ht="15.75" x14ac:dyDescent="0.25">
      <c r="A425">
        <v>424</v>
      </c>
      <c r="B425" s="103" t="s">
        <v>504</v>
      </c>
      <c r="C425" s="119" t="s">
        <v>362</v>
      </c>
      <c r="D425">
        <v>21</v>
      </c>
    </row>
    <row r="426" spans="1:4" ht="15.75" x14ac:dyDescent="0.25">
      <c r="A426">
        <v>425</v>
      </c>
      <c r="B426" s="103" t="s">
        <v>505</v>
      </c>
      <c r="C426" s="119" t="s">
        <v>362</v>
      </c>
      <c r="D426">
        <v>22</v>
      </c>
    </row>
    <row r="427" spans="1:4" ht="15.75" x14ac:dyDescent="0.25">
      <c r="A427">
        <v>426</v>
      </c>
      <c r="B427" s="106" t="s">
        <v>378</v>
      </c>
      <c r="C427" s="119" t="s">
        <v>362</v>
      </c>
      <c r="D427">
        <v>23</v>
      </c>
    </row>
    <row r="428" spans="1:4" ht="15.75" x14ac:dyDescent="0.25">
      <c r="A428">
        <v>427</v>
      </c>
      <c r="B428" s="103" t="s">
        <v>506</v>
      </c>
      <c r="C428" s="119" t="s">
        <v>362</v>
      </c>
      <c r="D428">
        <v>24</v>
      </c>
    </row>
    <row r="429" spans="1:4" ht="15.75" x14ac:dyDescent="0.25">
      <c r="A429">
        <v>428</v>
      </c>
      <c r="B429" s="104" t="s">
        <v>361</v>
      </c>
      <c r="C429" s="119" t="s">
        <v>362</v>
      </c>
      <c r="D429">
        <v>25</v>
      </c>
    </row>
    <row r="430" spans="1:4" ht="15.75" x14ac:dyDescent="0.25">
      <c r="A430">
        <v>429</v>
      </c>
      <c r="B430" s="104" t="s">
        <v>507</v>
      </c>
      <c r="C430" s="119" t="s">
        <v>362</v>
      </c>
      <c r="D430">
        <v>26</v>
      </c>
    </row>
    <row r="431" spans="1:4" ht="15.75" x14ac:dyDescent="0.25">
      <c r="A431">
        <v>430</v>
      </c>
      <c r="B431" s="104" t="s">
        <v>508</v>
      </c>
      <c r="C431" s="119" t="s">
        <v>500</v>
      </c>
      <c r="D431">
        <v>27</v>
      </c>
    </row>
    <row r="432" spans="1:4" ht="15.75" x14ac:dyDescent="0.25">
      <c r="A432">
        <v>431</v>
      </c>
      <c r="B432" s="104" t="s">
        <v>509</v>
      </c>
      <c r="C432" s="119" t="s">
        <v>500</v>
      </c>
      <c r="D432">
        <v>28</v>
      </c>
    </row>
    <row r="433" spans="1:4" ht="15.75" x14ac:dyDescent="0.25">
      <c r="A433">
        <v>432</v>
      </c>
      <c r="B433" s="104" t="s">
        <v>510</v>
      </c>
      <c r="C433" s="119" t="s">
        <v>352</v>
      </c>
    </row>
    <row r="434" spans="1:4" ht="15.75" x14ac:dyDescent="0.25">
      <c r="A434">
        <v>433</v>
      </c>
      <c r="B434" s="104" t="s">
        <v>511</v>
      </c>
      <c r="C434" s="119" t="s">
        <v>352</v>
      </c>
    </row>
    <row r="435" spans="1:4" ht="15.75" x14ac:dyDescent="0.25">
      <c r="A435">
        <v>434</v>
      </c>
      <c r="B435" s="104" t="s">
        <v>512</v>
      </c>
      <c r="C435" s="119" t="s">
        <v>255</v>
      </c>
    </row>
    <row r="436" spans="1:4" ht="15.75" x14ac:dyDescent="0.25">
      <c r="A436">
        <v>435</v>
      </c>
      <c r="B436" s="104" t="s">
        <v>513</v>
      </c>
      <c r="C436" s="119" t="s">
        <v>319</v>
      </c>
      <c r="D436">
        <v>1</v>
      </c>
    </row>
    <row r="437" spans="1:4" ht="15.75" x14ac:dyDescent="0.25">
      <c r="A437">
        <v>436</v>
      </c>
      <c r="B437" s="103" t="s">
        <v>514</v>
      </c>
      <c r="C437" s="119" t="s">
        <v>297</v>
      </c>
      <c r="D437">
        <v>2</v>
      </c>
    </row>
    <row r="438" spans="1:4" ht="15.75" x14ac:dyDescent="0.25">
      <c r="A438">
        <v>437</v>
      </c>
      <c r="B438" s="103" t="s">
        <v>480</v>
      </c>
      <c r="C438" s="119" t="s">
        <v>297</v>
      </c>
      <c r="D438">
        <v>3</v>
      </c>
    </row>
    <row r="439" spans="1:4" ht="15.75" x14ac:dyDescent="0.25">
      <c r="A439">
        <v>438</v>
      </c>
      <c r="B439" s="103" t="s">
        <v>362</v>
      </c>
      <c r="C439" s="119" t="s">
        <v>320</v>
      </c>
      <c r="D439">
        <v>4</v>
      </c>
    </row>
    <row r="440" spans="1:4" ht="15.75" x14ac:dyDescent="0.25">
      <c r="A440">
        <v>439</v>
      </c>
      <c r="B440" s="103" t="s">
        <v>263</v>
      </c>
      <c r="C440" s="119" t="s">
        <v>320</v>
      </c>
      <c r="D440">
        <v>5</v>
      </c>
    </row>
    <row r="441" spans="1:4" ht="15.75" x14ac:dyDescent="0.25">
      <c r="A441">
        <v>440</v>
      </c>
      <c r="B441" s="103" t="s">
        <v>264</v>
      </c>
      <c r="C441" s="119" t="s">
        <v>320</v>
      </c>
      <c r="D441">
        <v>6</v>
      </c>
    </row>
    <row r="442" spans="1:4" ht="15.75" x14ac:dyDescent="0.25">
      <c r="A442">
        <v>441</v>
      </c>
      <c r="B442" s="103" t="s">
        <v>431</v>
      </c>
      <c r="C442" s="119" t="s">
        <v>450</v>
      </c>
      <c r="D442">
        <v>7</v>
      </c>
    </row>
    <row r="443" spans="1:4" ht="15.75" x14ac:dyDescent="0.25">
      <c r="A443">
        <v>442</v>
      </c>
      <c r="B443" s="104" t="s">
        <v>265</v>
      </c>
      <c r="C443" s="119" t="s">
        <v>450</v>
      </c>
      <c r="D443">
        <v>8</v>
      </c>
    </row>
    <row r="444" spans="1:4" ht="15.75" x14ac:dyDescent="0.25">
      <c r="A444">
        <v>443</v>
      </c>
      <c r="B444" s="104" t="s">
        <v>267</v>
      </c>
      <c r="C444" s="119" t="s">
        <v>498</v>
      </c>
      <c r="D444">
        <v>9</v>
      </c>
    </row>
    <row r="445" spans="1:4" ht="15.75" x14ac:dyDescent="0.25">
      <c r="A445">
        <v>444</v>
      </c>
      <c r="B445" s="104" t="s">
        <v>266</v>
      </c>
      <c r="C445" s="119" t="s">
        <v>498</v>
      </c>
      <c r="D445">
        <v>10</v>
      </c>
    </row>
    <row r="446" spans="1:4" ht="15.75" x14ac:dyDescent="0.25">
      <c r="A446">
        <v>445</v>
      </c>
      <c r="B446" s="104" t="s">
        <v>329</v>
      </c>
      <c r="C446" s="119" t="s">
        <v>470</v>
      </c>
      <c r="D446">
        <v>11</v>
      </c>
    </row>
    <row r="447" spans="1:4" ht="15.75" x14ac:dyDescent="0.25">
      <c r="A447">
        <v>446</v>
      </c>
      <c r="B447" s="108" t="s">
        <v>515</v>
      </c>
      <c r="C447" s="119" t="s">
        <v>275</v>
      </c>
      <c r="D447">
        <v>12</v>
      </c>
    </row>
    <row r="448" spans="1:4" ht="15.75" x14ac:dyDescent="0.25">
      <c r="A448">
        <v>447</v>
      </c>
      <c r="B448" s="103" t="s">
        <v>516</v>
      </c>
      <c r="C448" s="119" t="s">
        <v>275</v>
      </c>
      <c r="D448">
        <v>13</v>
      </c>
    </row>
    <row r="449" spans="1:4" ht="15.75" x14ac:dyDescent="0.25">
      <c r="A449">
        <v>448</v>
      </c>
      <c r="B449" s="103" t="s">
        <v>517</v>
      </c>
      <c r="C449" s="119" t="s">
        <v>275</v>
      </c>
      <c r="D449">
        <v>14</v>
      </c>
    </row>
    <row r="450" spans="1:4" ht="15.75" x14ac:dyDescent="0.25">
      <c r="A450">
        <v>449</v>
      </c>
      <c r="B450" s="103" t="s">
        <v>323</v>
      </c>
      <c r="C450" s="119" t="s">
        <v>275</v>
      </c>
      <c r="D450">
        <v>15</v>
      </c>
    </row>
    <row r="451" spans="1:4" ht="15.75" x14ac:dyDescent="0.25">
      <c r="A451">
        <v>450</v>
      </c>
      <c r="B451" s="108" t="s">
        <v>518</v>
      </c>
      <c r="C451" s="119" t="s">
        <v>275</v>
      </c>
      <c r="D451">
        <v>16</v>
      </c>
    </row>
    <row r="452" spans="1:4" ht="15.75" x14ac:dyDescent="0.25">
      <c r="A452">
        <v>451</v>
      </c>
      <c r="B452" s="103" t="s">
        <v>519</v>
      </c>
      <c r="C452" s="119" t="s">
        <v>275</v>
      </c>
      <c r="D452">
        <v>17</v>
      </c>
    </row>
    <row r="453" spans="1:4" ht="15.75" x14ac:dyDescent="0.25">
      <c r="A453">
        <v>452</v>
      </c>
      <c r="B453" s="103" t="s">
        <v>306</v>
      </c>
      <c r="C453" s="119" t="s">
        <v>275</v>
      </c>
      <c r="D453">
        <v>18</v>
      </c>
    </row>
    <row r="454" spans="1:4" ht="15.75" x14ac:dyDescent="0.25">
      <c r="A454">
        <v>453</v>
      </c>
      <c r="B454" s="103" t="s">
        <v>520</v>
      </c>
      <c r="C454" s="119" t="s">
        <v>518</v>
      </c>
      <c r="D454">
        <v>19</v>
      </c>
    </row>
    <row r="455" spans="1:4" ht="15.75" x14ac:dyDescent="0.25">
      <c r="A455">
        <v>454</v>
      </c>
      <c r="B455" s="108" t="s">
        <v>521</v>
      </c>
      <c r="C455" s="119" t="s">
        <v>298</v>
      </c>
    </row>
    <row r="456" spans="1:4" ht="15.75" x14ac:dyDescent="0.25">
      <c r="A456">
        <v>455</v>
      </c>
      <c r="B456" s="103" t="s">
        <v>522</v>
      </c>
      <c r="C456" s="119" t="s">
        <v>407</v>
      </c>
    </row>
    <row r="457" spans="1:4" ht="15.75" x14ac:dyDescent="0.25">
      <c r="A457">
        <v>456</v>
      </c>
      <c r="B457" s="103" t="s">
        <v>523</v>
      </c>
      <c r="C457" s="119" t="s">
        <v>471</v>
      </c>
    </row>
    <row r="458" spans="1:4" ht="15.75" x14ac:dyDescent="0.25">
      <c r="A458">
        <v>457</v>
      </c>
      <c r="B458" s="104" t="s">
        <v>423</v>
      </c>
      <c r="C458" s="119" t="s">
        <v>471</v>
      </c>
    </row>
    <row r="459" spans="1:4" ht="15.75" x14ac:dyDescent="0.25">
      <c r="A459">
        <v>458</v>
      </c>
      <c r="B459" s="104" t="s">
        <v>424</v>
      </c>
      <c r="C459" s="119" t="s">
        <v>471</v>
      </c>
    </row>
    <row r="460" spans="1:4" ht="15.75" x14ac:dyDescent="0.25">
      <c r="A460">
        <v>459</v>
      </c>
      <c r="B460" s="104" t="s">
        <v>274</v>
      </c>
      <c r="C460" s="119" t="s">
        <v>471</v>
      </c>
    </row>
    <row r="461" spans="1:4" ht="15.75" x14ac:dyDescent="0.25">
      <c r="A461">
        <v>460</v>
      </c>
      <c r="B461" s="104" t="s">
        <v>497</v>
      </c>
      <c r="C461" s="119" t="s">
        <v>341</v>
      </c>
    </row>
    <row r="462" spans="1:4" ht="15.75" x14ac:dyDescent="0.25">
      <c r="A462">
        <v>461</v>
      </c>
      <c r="B462" s="103" t="s">
        <v>277</v>
      </c>
      <c r="C462" s="119" t="s">
        <v>341</v>
      </c>
    </row>
    <row r="463" spans="1:4" ht="15.75" x14ac:dyDescent="0.25">
      <c r="A463">
        <v>462</v>
      </c>
      <c r="B463" s="103" t="s">
        <v>278</v>
      </c>
      <c r="C463" s="119" t="s">
        <v>346</v>
      </c>
    </row>
    <row r="464" spans="1:4" ht="15.75" x14ac:dyDescent="0.25">
      <c r="A464">
        <v>463</v>
      </c>
      <c r="B464" s="103" t="s">
        <v>279</v>
      </c>
      <c r="C464" s="119" t="s">
        <v>382</v>
      </c>
    </row>
    <row r="465" spans="1:3" ht="15.75" x14ac:dyDescent="0.25">
      <c r="A465">
        <v>464</v>
      </c>
      <c r="B465" s="103" t="s">
        <v>524</v>
      </c>
      <c r="C465" s="119" t="s">
        <v>370</v>
      </c>
    </row>
    <row r="466" spans="1:3" ht="15.75" x14ac:dyDescent="0.25">
      <c r="A466">
        <v>465</v>
      </c>
      <c r="B466" s="104" t="s">
        <v>312</v>
      </c>
      <c r="C466" s="119" t="s">
        <v>370</v>
      </c>
    </row>
    <row r="467" spans="1:3" ht="15.75" x14ac:dyDescent="0.25">
      <c r="A467">
        <v>466</v>
      </c>
      <c r="B467" s="104" t="s">
        <v>284</v>
      </c>
      <c r="C467" s="119" t="s">
        <v>370</v>
      </c>
    </row>
    <row r="468" spans="1:3" ht="15.75" x14ac:dyDescent="0.25">
      <c r="A468">
        <v>467</v>
      </c>
      <c r="B468" s="104" t="s">
        <v>285</v>
      </c>
      <c r="C468" s="119" t="s">
        <v>370</v>
      </c>
    </row>
    <row r="469" spans="1:3" ht="15.75" x14ac:dyDescent="0.25">
      <c r="A469">
        <v>468</v>
      </c>
      <c r="B469" s="104" t="s">
        <v>313</v>
      </c>
      <c r="C469" s="119" t="s">
        <v>370</v>
      </c>
    </row>
    <row r="470" spans="1:3" ht="15.75" x14ac:dyDescent="0.25">
      <c r="A470">
        <v>469</v>
      </c>
      <c r="B470" s="104" t="s">
        <v>287</v>
      </c>
      <c r="C470" s="119" t="s">
        <v>534</v>
      </c>
    </row>
    <row r="471" spans="1:3" ht="15.75" x14ac:dyDescent="0.25">
      <c r="A471">
        <v>470</v>
      </c>
      <c r="B471" s="103" t="s">
        <v>498</v>
      </c>
      <c r="C471" s="119" t="s">
        <v>310</v>
      </c>
    </row>
    <row r="472" spans="1:3" ht="15.75" x14ac:dyDescent="0.25">
      <c r="A472">
        <v>471</v>
      </c>
      <c r="B472" s="103" t="s">
        <v>471</v>
      </c>
      <c r="C472" s="119" t="s">
        <v>535</v>
      </c>
    </row>
    <row r="473" spans="1:3" ht="15.75" x14ac:dyDescent="0.25">
      <c r="A473">
        <v>472</v>
      </c>
      <c r="B473" s="103" t="s">
        <v>499</v>
      </c>
      <c r="C473" s="119" t="s">
        <v>296</v>
      </c>
    </row>
    <row r="474" spans="1:3" ht="15.75" x14ac:dyDescent="0.25">
      <c r="A474">
        <v>473</v>
      </c>
      <c r="B474" s="103" t="s">
        <v>431</v>
      </c>
      <c r="C474" s="119" t="s">
        <v>262</v>
      </c>
    </row>
    <row r="475" spans="1:3" ht="15.75" x14ac:dyDescent="0.25">
      <c r="A475">
        <v>474</v>
      </c>
      <c r="B475" s="103" t="s">
        <v>500</v>
      </c>
      <c r="C475" s="119" t="s">
        <v>262</v>
      </c>
    </row>
    <row r="476" spans="1:3" ht="15.75" x14ac:dyDescent="0.25">
      <c r="A476">
        <v>475</v>
      </c>
      <c r="B476" s="103" t="s">
        <v>501</v>
      </c>
      <c r="C476" s="119" t="s">
        <v>262</v>
      </c>
    </row>
    <row r="477" spans="1:3" ht="15.75" x14ac:dyDescent="0.25">
      <c r="A477">
        <v>476</v>
      </c>
      <c r="B477" s="103" t="s">
        <v>502</v>
      </c>
      <c r="C477" s="119" t="s">
        <v>262</v>
      </c>
    </row>
  </sheetData>
  <sortState xmlns:xlrd2="http://schemas.microsoft.com/office/spreadsheetml/2017/richdata2" ref="C2:C478">
    <sortCondition ref="C1:C478"/>
  </sortState>
  <mergeCells count="1">
    <mergeCell ref="J1:O18"/>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B893-0FCB-4B04-99BC-82AD6507FB1E}">
  <sheetPr>
    <pageSetUpPr fitToPage="1"/>
  </sheetPr>
  <dimension ref="A1:BG52"/>
  <sheetViews>
    <sheetView topLeftCell="A44" zoomScale="70" zoomScaleNormal="70" workbookViewId="0">
      <selection activeCell="G34" sqref="G34:M39"/>
    </sheetView>
  </sheetViews>
  <sheetFormatPr defaultRowHeight="15" x14ac:dyDescent="0.25"/>
  <cols>
    <col min="1" max="1" width="25.5703125" customWidth="1"/>
    <col min="2" max="2" width="11.42578125" bestFit="1" customWidth="1"/>
    <col min="6" max="7" width="12.140625" bestFit="1" customWidth="1"/>
    <col min="8" max="8" width="7.7109375" bestFit="1" customWidth="1"/>
    <col min="9" max="9" width="7.140625" customWidth="1"/>
    <col min="10" max="10" width="7.85546875" bestFit="1" customWidth="1"/>
    <col min="11" max="11" width="8.42578125" bestFit="1" customWidth="1"/>
    <col min="13" max="13" width="26.28515625" bestFit="1" customWidth="1"/>
    <col min="14" max="14" width="11.5703125" customWidth="1"/>
    <col min="25" max="25" width="26.28515625" bestFit="1" customWidth="1"/>
    <col min="26" max="26" width="12.140625" customWidth="1"/>
    <col min="37" max="37" width="26.28515625" bestFit="1" customWidth="1"/>
    <col min="38" max="38" width="11.42578125" customWidth="1"/>
    <col min="49" max="49" width="26.28515625" bestFit="1" customWidth="1"/>
  </cols>
  <sheetData>
    <row r="1" spans="1:59" ht="37.5" x14ac:dyDescent="0.5">
      <c r="A1" s="138" t="s">
        <v>118</v>
      </c>
      <c r="B1" s="135" t="s">
        <v>558</v>
      </c>
      <c r="C1" s="136" t="s">
        <v>30</v>
      </c>
      <c r="D1" s="136" t="s">
        <v>56</v>
      </c>
      <c r="E1" s="136" t="s">
        <v>211</v>
      </c>
      <c r="F1" s="136" t="s">
        <v>1</v>
      </c>
      <c r="G1" s="136" t="s">
        <v>559</v>
      </c>
      <c r="H1" s="136" t="s">
        <v>212</v>
      </c>
      <c r="I1" s="136" t="s">
        <v>198</v>
      </c>
      <c r="J1" s="136" t="s">
        <v>560</v>
      </c>
      <c r="K1" s="136" t="s">
        <v>561</v>
      </c>
      <c r="L1" s="113"/>
      <c r="M1" s="138" t="s">
        <v>119</v>
      </c>
      <c r="N1" s="135" t="s">
        <v>558</v>
      </c>
      <c r="O1" s="136" t="s">
        <v>30</v>
      </c>
      <c r="P1" s="136" t="s">
        <v>56</v>
      </c>
      <c r="Q1" s="136" t="s">
        <v>211</v>
      </c>
      <c r="R1" s="136" t="s">
        <v>1</v>
      </c>
      <c r="S1" s="136" t="s">
        <v>559</v>
      </c>
      <c r="T1" s="136" t="s">
        <v>212</v>
      </c>
      <c r="U1" s="136" t="s">
        <v>198</v>
      </c>
      <c r="V1" s="136" t="s">
        <v>560</v>
      </c>
      <c r="W1" s="136" t="s">
        <v>561</v>
      </c>
      <c r="Y1" s="138" t="s">
        <v>122</v>
      </c>
      <c r="Z1" s="135" t="s">
        <v>558</v>
      </c>
      <c r="AA1" s="136" t="s">
        <v>30</v>
      </c>
      <c r="AB1" s="136" t="s">
        <v>56</v>
      </c>
      <c r="AC1" s="136" t="s">
        <v>211</v>
      </c>
      <c r="AD1" s="136" t="s">
        <v>1</v>
      </c>
      <c r="AE1" s="136" t="s">
        <v>559</v>
      </c>
      <c r="AF1" s="136" t="s">
        <v>212</v>
      </c>
      <c r="AG1" s="136" t="s">
        <v>198</v>
      </c>
      <c r="AH1" s="136" t="s">
        <v>560</v>
      </c>
      <c r="AI1" s="136" t="s">
        <v>561</v>
      </c>
      <c r="AK1" s="138" t="s">
        <v>125</v>
      </c>
      <c r="AL1" s="135" t="s">
        <v>558</v>
      </c>
      <c r="AM1" s="136" t="s">
        <v>30</v>
      </c>
      <c r="AN1" s="136" t="s">
        <v>56</v>
      </c>
      <c r="AO1" s="136" t="s">
        <v>211</v>
      </c>
      <c r="AP1" s="136" t="s">
        <v>1</v>
      </c>
      <c r="AQ1" s="136" t="s">
        <v>559</v>
      </c>
      <c r="AR1" s="136" t="s">
        <v>212</v>
      </c>
      <c r="AS1" s="136" t="s">
        <v>198</v>
      </c>
      <c r="AT1" s="136" t="s">
        <v>560</v>
      </c>
      <c r="AU1" s="136" t="s">
        <v>561</v>
      </c>
      <c r="AW1" s="138" t="s">
        <v>126</v>
      </c>
      <c r="AX1" s="135" t="s">
        <v>558</v>
      </c>
      <c r="AY1" s="136" t="s">
        <v>30</v>
      </c>
      <c r="AZ1" s="136" t="s">
        <v>56</v>
      </c>
      <c r="BA1" s="136" t="s">
        <v>211</v>
      </c>
      <c r="BB1" s="136" t="s">
        <v>1</v>
      </c>
      <c r="BC1" s="136" t="s">
        <v>559</v>
      </c>
      <c r="BD1" s="136" t="s">
        <v>212</v>
      </c>
      <c r="BE1" s="136" t="s">
        <v>198</v>
      </c>
      <c r="BF1" s="136" t="s">
        <v>560</v>
      </c>
      <c r="BG1" s="136" t="s">
        <v>561</v>
      </c>
    </row>
    <row r="2" spans="1:59" ht="22.5" customHeight="1" x14ac:dyDescent="0.25">
      <c r="A2" s="135" t="s">
        <v>25</v>
      </c>
      <c r="B2" s="137">
        <v>0.33329999999999999</v>
      </c>
      <c r="C2" s="137"/>
      <c r="D2" s="137"/>
      <c r="E2" s="137"/>
      <c r="F2" s="137"/>
      <c r="G2" s="137"/>
      <c r="H2" s="137"/>
      <c r="I2" s="137"/>
      <c r="J2" s="137"/>
      <c r="K2" s="137"/>
      <c r="L2" s="113"/>
      <c r="M2" s="135" t="s">
        <v>25</v>
      </c>
      <c r="N2" s="139">
        <v>0.33</v>
      </c>
      <c r="O2" s="139"/>
      <c r="P2" s="139"/>
      <c r="Q2" s="139"/>
      <c r="R2" s="139"/>
      <c r="S2" s="139"/>
      <c r="T2" s="139"/>
      <c r="U2" s="139"/>
      <c r="V2" s="139"/>
      <c r="W2" s="139"/>
      <c r="Y2" s="135" t="s">
        <v>25</v>
      </c>
      <c r="Z2" s="139">
        <v>1</v>
      </c>
      <c r="AA2" s="139"/>
      <c r="AB2" s="139"/>
      <c r="AC2" s="139"/>
      <c r="AD2" s="139"/>
      <c r="AE2" s="139"/>
      <c r="AF2" s="139"/>
      <c r="AG2" s="139"/>
      <c r="AH2" s="139"/>
      <c r="AI2" s="139"/>
      <c r="AK2" s="135" t="s">
        <v>25</v>
      </c>
      <c r="AL2" s="139">
        <v>0.33329999999999999</v>
      </c>
      <c r="AM2" s="139"/>
      <c r="AN2" s="139"/>
      <c r="AO2" s="139"/>
      <c r="AP2" s="139"/>
      <c r="AQ2" s="139"/>
      <c r="AR2" s="139"/>
      <c r="AS2" s="139"/>
      <c r="AT2" s="139"/>
      <c r="AU2" s="139"/>
      <c r="AW2" s="135" t="s">
        <v>25</v>
      </c>
      <c r="AX2" s="139">
        <v>1</v>
      </c>
      <c r="AY2" s="139"/>
      <c r="AZ2" s="139"/>
      <c r="BA2" s="139"/>
      <c r="BB2" s="139"/>
      <c r="BC2" s="139"/>
      <c r="BD2" s="139"/>
      <c r="BE2" s="139"/>
      <c r="BF2" s="139"/>
      <c r="BG2" s="139"/>
    </row>
    <row r="3" spans="1:59" ht="18.75" x14ac:dyDescent="0.25">
      <c r="A3" s="136" t="s">
        <v>30</v>
      </c>
      <c r="B3" s="137"/>
      <c r="C3" s="137">
        <v>0.5</v>
      </c>
      <c r="D3" s="137"/>
      <c r="E3" s="137"/>
      <c r="F3" s="137"/>
      <c r="G3" s="137"/>
      <c r="H3" s="137"/>
      <c r="I3" s="137"/>
      <c r="J3" s="137"/>
      <c r="K3" s="137"/>
      <c r="L3" s="113"/>
      <c r="M3" s="136" t="s">
        <v>30</v>
      </c>
      <c r="N3" s="139"/>
      <c r="O3" s="139">
        <v>0.5</v>
      </c>
      <c r="P3" s="139"/>
      <c r="Q3" s="139"/>
      <c r="R3" s="139"/>
      <c r="S3" s="139"/>
      <c r="T3" s="139"/>
      <c r="U3" s="139"/>
      <c r="V3" s="139"/>
      <c r="W3" s="139"/>
      <c r="Y3" s="136" t="s">
        <v>30</v>
      </c>
      <c r="Z3" s="139"/>
      <c r="AA3" s="139">
        <v>0.5</v>
      </c>
      <c r="AB3" s="139"/>
      <c r="AC3" s="139"/>
      <c r="AD3" s="139"/>
      <c r="AE3" s="139"/>
      <c r="AF3" s="139"/>
      <c r="AG3" s="139"/>
      <c r="AH3" s="139"/>
      <c r="AI3" s="139"/>
      <c r="AK3" s="136" t="s">
        <v>30</v>
      </c>
      <c r="AL3" s="139"/>
      <c r="AM3" s="139">
        <v>0</v>
      </c>
      <c r="AN3" s="139"/>
      <c r="AO3" s="139"/>
      <c r="AP3" s="139"/>
      <c r="AQ3" s="139"/>
      <c r="AR3" s="139"/>
      <c r="AS3" s="139"/>
      <c r="AT3" s="139"/>
      <c r="AU3" s="139"/>
      <c r="AW3" s="136" t="s">
        <v>30</v>
      </c>
      <c r="AX3" s="139"/>
      <c r="AY3" s="139">
        <v>0.5</v>
      </c>
      <c r="AZ3" s="139"/>
      <c r="BA3" s="139"/>
      <c r="BB3" s="139"/>
      <c r="BC3" s="139"/>
      <c r="BD3" s="139"/>
      <c r="BE3" s="139"/>
      <c r="BF3" s="139"/>
      <c r="BG3" s="139"/>
    </row>
    <row r="4" spans="1:59" ht="18.75" x14ac:dyDescent="0.25">
      <c r="A4" s="136" t="s">
        <v>0</v>
      </c>
      <c r="B4" s="137"/>
      <c r="C4" s="137"/>
      <c r="D4" s="137">
        <v>0</v>
      </c>
      <c r="E4" s="137"/>
      <c r="F4" s="137"/>
      <c r="G4" s="137"/>
      <c r="H4" s="137"/>
      <c r="I4" s="137"/>
      <c r="J4" s="137"/>
      <c r="K4" s="137"/>
      <c r="L4" s="113"/>
      <c r="M4" s="136" t="s">
        <v>0</v>
      </c>
      <c r="N4" s="139"/>
      <c r="O4" s="139"/>
      <c r="P4" s="139">
        <v>0.5</v>
      </c>
      <c r="Q4" s="139"/>
      <c r="R4" s="139"/>
      <c r="S4" s="139"/>
      <c r="T4" s="139"/>
      <c r="U4" s="139"/>
      <c r="V4" s="139"/>
      <c r="W4" s="139"/>
      <c r="Y4" s="136" t="s">
        <v>0</v>
      </c>
      <c r="Z4" s="139"/>
      <c r="AA4" s="139"/>
      <c r="AB4" s="139">
        <v>0.33</v>
      </c>
      <c r="AC4" s="139"/>
      <c r="AD4" s="139"/>
      <c r="AE4" s="139"/>
      <c r="AF4" s="139"/>
      <c r="AG4" s="139"/>
      <c r="AH4" s="139"/>
      <c r="AI4" s="139"/>
      <c r="AK4" s="136" t="s">
        <v>0</v>
      </c>
      <c r="AL4" s="139"/>
      <c r="AM4" s="139"/>
      <c r="AN4" s="139">
        <v>0.5</v>
      </c>
      <c r="AO4" s="139"/>
      <c r="AP4" s="139"/>
      <c r="AQ4" s="139"/>
      <c r="AR4" s="139"/>
      <c r="AS4" s="139"/>
      <c r="AT4" s="139"/>
      <c r="AU4" s="139"/>
      <c r="AW4" s="136" t="s">
        <v>0</v>
      </c>
      <c r="AX4" s="139"/>
      <c r="AY4" s="139"/>
      <c r="AZ4" s="139">
        <v>0</v>
      </c>
      <c r="BA4" s="139"/>
      <c r="BB4" s="139"/>
      <c r="BC4" s="139"/>
      <c r="BD4" s="139"/>
      <c r="BE4" s="139"/>
      <c r="BF4" s="139"/>
      <c r="BG4" s="139"/>
    </row>
    <row r="5" spans="1:59" ht="18.75" x14ac:dyDescent="0.25">
      <c r="A5" s="136" t="s">
        <v>117</v>
      </c>
      <c r="B5" s="137"/>
      <c r="C5" s="137"/>
      <c r="D5" s="137"/>
      <c r="E5" s="137">
        <v>0</v>
      </c>
      <c r="F5" s="137"/>
      <c r="G5" s="137"/>
      <c r="H5" s="137"/>
      <c r="I5" s="137"/>
      <c r="J5" s="137"/>
      <c r="K5" s="137"/>
      <c r="L5" s="113"/>
      <c r="M5" s="136" t="s">
        <v>117</v>
      </c>
      <c r="N5" s="139"/>
      <c r="O5" s="139"/>
      <c r="P5" s="139"/>
      <c r="Q5" s="139">
        <v>0</v>
      </c>
      <c r="R5" s="139"/>
      <c r="S5" s="139"/>
      <c r="T5" s="139"/>
      <c r="U5" s="139"/>
      <c r="V5" s="139"/>
      <c r="W5" s="139"/>
      <c r="Y5" s="136" t="s">
        <v>117</v>
      </c>
      <c r="Z5" s="139"/>
      <c r="AA5" s="139"/>
      <c r="AB5" s="139"/>
      <c r="AC5" s="139">
        <v>1</v>
      </c>
      <c r="AD5" s="139"/>
      <c r="AE5" s="139"/>
      <c r="AF5" s="139"/>
      <c r="AG5" s="139"/>
      <c r="AH5" s="139"/>
      <c r="AI5" s="139"/>
      <c r="AK5" s="136" t="s">
        <v>117</v>
      </c>
      <c r="AL5" s="139"/>
      <c r="AM5" s="139"/>
      <c r="AN5" s="139"/>
      <c r="AO5" s="139">
        <v>0</v>
      </c>
      <c r="AP5" s="139"/>
      <c r="AQ5" s="139"/>
      <c r="AR5" s="139"/>
      <c r="AS5" s="139"/>
      <c r="AT5" s="139"/>
      <c r="AU5" s="139"/>
      <c r="AW5" s="136" t="s">
        <v>117</v>
      </c>
      <c r="AX5" s="139"/>
      <c r="AY5" s="139"/>
      <c r="AZ5" s="139"/>
      <c r="BA5" s="139">
        <v>0</v>
      </c>
      <c r="BB5" s="139"/>
      <c r="BC5" s="139"/>
      <c r="BD5" s="139"/>
      <c r="BE5" s="139"/>
      <c r="BF5" s="139"/>
      <c r="BG5" s="139"/>
    </row>
    <row r="6" spans="1:59" ht="18.75" x14ac:dyDescent="0.25">
      <c r="A6" s="136" t="s">
        <v>1</v>
      </c>
      <c r="B6" s="137"/>
      <c r="C6" s="137"/>
      <c r="D6" s="137"/>
      <c r="E6" s="137"/>
      <c r="F6" s="137">
        <v>0</v>
      </c>
      <c r="G6" s="137"/>
      <c r="H6" s="137"/>
      <c r="I6" s="137"/>
      <c r="J6" s="137"/>
      <c r="K6" s="137"/>
      <c r="L6" s="113"/>
      <c r="M6" s="136" t="s">
        <v>1</v>
      </c>
      <c r="N6" s="139"/>
      <c r="O6" s="139"/>
      <c r="P6" s="139"/>
      <c r="Q6" s="139"/>
      <c r="R6" s="139">
        <v>0</v>
      </c>
      <c r="S6" s="139"/>
      <c r="T6" s="139"/>
      <c r="U6" s="139"/>
      <c r="V6" s="139"/>
      <c r="W6" s="139"/>
      <c r="Y6" s="136" t="s">
        <v>1</v>
      </c>
      <c r="Z6" s="139"/>
      <c r="AA6" s="139"/>
      <c r="AB6" s="139"/>
      <c r="AC6" s="139"/>
      <c r="AD6" s="139">
        <v>0</v>
      </c>
      <c r="AE6" s="139"/>
      <c r="AF6" s="139"/>
      <c r="AG6" s="139"/>
      <c r="AH6" s="139"/>
      <c r="AI6" s="139"/>
      <c r="AK6" s="136" t="s">
        <v>1</v>
      </c>
      <c r="AL6" s="139"/>
      <c r="AM6" s="139"/>
      <c r="AN6" s="139"/>
      <c r="AO6" s="139"/>
      <c r="AP6" s="139">
        <v>0</v>
      </c>
      <c r="AQ6" s="139"/>
      <c r="AR6" s="139"/>
      <c r="AS6" s="139"/>
      <c r="AT6" s="139"/>
      <c r="AU6" s="139"/>
      <c r="AW6" s="136" t="s">
        <v>1</v>
      </c>
      <c r="AX6" s="139"/>
      <c r="AY6" s="139"/>
      <c r="AZ6" s="139"/>
      <c r="BA6" s="139"/>
      <c r="BB6" s="139">
        <v>0</v>
      </c>
      <c r="BC6" s="139"/>
      <c r="BD6" s="139"/>
      <c r="BE6" s="139"/>
      <c r="BF6" s="139"/>
      <c r="BG6" s="139"/>
    </row>
    <row r="7" spans="1:59" ht="18.75" x14ac:dyDescent="0.25">
      <c r="A7" s="136" t="s">
        <v>2</v>
      </c>
      <c r="B7" s="137"/>
      <c r="C7" s="137"/>
      <c r="D7" s="137"/>
      <c r="E7" s="137"/>
      <c r="F7" s="137"/>
      <c r="G7" s="137">
        <v>0</v>
      </c>
      <c r="H7" s="137"/>
      <c r="I7" s="137"/>
      <c r="J7" s="137"/>
      <c r="K7" s="137"/>
      <c r="L7" s="113"/>
      <c r="M7" s="136" t="s">
        <v>2</v>
      </c>
      <c r="N7" s="139"/>
      <c r="O7" s="139"/>
      <c r="P7" s="139"/>
      <c r="Q7" s="139"/>
      <c r="R7" s="139"/>
      <c r="S7" s="139">
        <v>0</v>
      </c>
      <c r="T7" s="139"/>
      <c r="U7" s="139"/>
      <c r="V7" s="139"/>
      <c r="W7" s="139"/>
      <c r="Y7" s="136" t="s">
        <v>2</v>
      </c>
      <c r="Z7" s="139"/>
      <c r="AA7" s="139"/>
      <c r="AB7" s="139"/>
      <c r="AC7" s="139"/>
      <c r="AD7" s="139"/>
      <c r="AE7" s="139">
        <v>0</v>
      </c>
      <c r="AF7" s="139"/>
      <c r="AG7" s="139"/>
      <c r="AH7" s="139"/>
      <c r="AI7" s="139"/>
      <c r="AK7" s="136" t="s">
        <v>2</v>
      </c>
      <c r="AL7" s="139"/>
      <c r="AM7" s="139"/>
      <c r="AN7" s="139"/>
      <c r="AO7" s="139"/>
      <c r="AP7" s="139"/>
      <c r="AQ7" s="139">
        <v>0</v>
      </c>
      <c r="AR7" s="139"/>
      <c r="AS7" s="139"/>
      <c r="AT7" s="139"/>
      <c r="AU7" s="139"/>
      <c r="AW7" s="136" t="s">
        <v>2</v>
      </c>
      <c r="AX7" s="139"/>
      <c r="AY7" s="139"/>
      <c r="AZ7" s="139"/>
      <c r="BA7" s="139"/>
      <c r="BB7" s="139"/>
      <c r="BC7" s="139">
        <v>0</v>
      </c>
      <c r="BD7" s="139"/>
      <c r="BE7" s="139"/>
      <c r="BF7" s="139"/>
      <c r="BG7" s="139"/>
    </row>
    <row r="8" spans="1:59" ht="18.75" x14ac:dyDescent="0.25">
      <c r="A8" s="136" t="s">
        <v>3</v>
      </c>
      <c r="B8" s="137"/>
      <c r="C8" s="137"/>
      <c r="D8" s="137"/>
      <c r="E8" s="137"/>
      <c r="F8" s="137"/>
      <c r="G8" s="137"/>
      <c r="H8" s="137">
        <v>0.5</v>
      </c>
      <c r="I8" s="137"/>
      <c r="J8" s="137"/>
      <c r="K8" s="137"/>
      <c r="L8" s="113"/>
      <c r="M8" s="136" t="s">
        <v>3</v>
      </c>
      <c r="N8" s="139"/>
      <c r="O8" s="139"/>
      <c r="P8" s="139"/>
      <c r="Q8" s="139"/>
      <c r="R8" s="139"/>
      <c r="S8" s="139"/>
      <c r="T8" s="139">
        <v>0</v>
      </c>
      <c r="U8" s="139"/>
      <c r="V8" s="139"/>
      <c r="W8" s="139"/>
      <c r="Y8" s="136" t="s">
        <v>3</v>
      </c>
      <c r="Z8" s="139"/>
      <c r="AA8" s="139"/>
      <c r="AB8" s="139"/>
      <c r="AC8" s="139"/>
      <c r="AD8" s="139"/>
      <c r="AE8" s="139"/>
      <c r="AF8" s="139">
        <v>0</v>
      </c>
      <c r="AG8" s="139"/>
      <c r="AH8" s="139"/>
      <c r="AI8" s="139"/>
      <c r="AK8" s="136" t="s">
        <v>3</v>
      </c>
      <c r="AL8" s="139"/>
      <c r="AM8" s="139"/>
      <c r="AN8" s="139"/>
      <c r="AO8" s="139"/>
      <c r="AP8" s="139"/>
      <c r="AQ8" s="139"/>
      <c r="AR8" s="139">
        <v>0.5</v>
      </c>
      <c r="AS8" s="139"/>
      <c r="AT8" s="139"/>
      <c r="AU8" s="139"/>
      <c r="AW8" s="136" t="s">
        <v>3</v>
      </c>
      <c r="AX8" s="139"/>
      <c r="AY8" s="139"/>
      <c r="AZ8" s="139"/>
      <c r="BA8" s="139"/>
      <c r="BB8" s="139"/>
      <c r="BC8" s="139"/>
      <c r="BD8" s="139">
        <v>0.5</v>
      </c>
      <c r="BE8" s="139"/>
      <c r="BF8" s="139"/>
      <c r="BG8" s="139"/>
    </row>
    <row r="9" spans="1:59" ht="18.75" x14ac:dyDescent="0.25">
      <c r="A9" s="136" t="s">
        <v>4</v>
      </c>
      <c r="B9" s="137"/>
      <c r="C9" s="137"/>
      <c r="D9" s="137"/>
      <c r="E9" s="137"/>
      <c r="F9" s="137"/>
      <c r="G9" s="137"/>
      <c r="H9" s="137"/>
      <c r="I9" s="137">
        <v>0.5</v>
      </c>
      <c r="J9" s="137"/>
      <c r="K9" s="137"/>
      <c r="L9" s="113"/>
      <c r="M9" s="136" t="s">
        <v>4</v>
      </c>
      <c r="N9" s="139"/>
      <c r="O9" s="139"/>
      <c r="P9" s="139"/>
      <c r="Q9" s="139"/>
      <c r="R9" s="139"/>
      <c r="S9" s="139"/>
      <c r="T9" s="139"/>
      <c r="U9" s="139">
        <v>0</v>
      </c>
      <c r="V9" s="139"/>
      <c r="W9" s="139"/>
      <c r="Y9" s="136" t="s">
        <v>4</v>
      </c>
      <c r="Z9" s="139"/>
      <c r="AA9" s="139"/>
      <c r="AB9" s="139"/>
      <c r="AC9" s="139"/>
      <c r="AD9" s="139"/>
      <c r="AE9" s="139"/>
      <c r="AF9" s="139"/>
      <c r="AG9" s="139">
        <v>0</v>
      </c>
      <c r="AH9" s="139"/>
      <c r="AI9" s="139"/>
      <c r="AK9" s="136" t="s">
        <v>4</v>
      </c>
      <c r="AL9" s="139"/>
      <c r="AM9" s="139"/>
      <c r="AN9" s="139"/>
      <c r="AO9" s="139"/>
      <c r="AP9" s="139"/>
      <c r="AQ9" s="139"/>
      <c r="AR9" s="139"/>
      <c r="AS9" s="139">
        <v>0</v>
      </c>
      <c r="AT9" s="139"/>
      <c r="AU9" s="139"/>
      <c r="AW9" s="136" t="s">
        <v>4</v>
      </c>
      <c r="AX9" s="139"/>
      <c r="AY9" s="139"/>
      <c r="AZ9" s="139"/>
      <c r="BA9" s="139"/>
      <c r="BB9" s="139"/>
      <c r="BC9" s="139"/>
      <c r="BD9" s="139"/>
      <c r="BE9" s="139">
        <v>0</v>
      </c>
      <c r="BF9" s="139"/>
      <c r="BG9" s="139"/>
    </row>
    <row r="10" spans="1:59" ht="18.75" x14ac:dyDescent="0.25">
      <c r="A10" s="136" t="s">
        <v>5</v>
      </c>
      <c r="B10" s="137"/>
      <c r="C10" s="137"/>
      <c r="D10" s="137"/>
      <c r="E10" s="137"/>
      <c r="F10" s="137"/>
      <c r="G10" s="137"/>
      <c r="H10" s="137"/>
      <c r="I10" s="137"/>
      <c r="J10" s="137">
        <v>0</v>
      </c>
      <c r="K10" s="137"/>
      <c r="L10" s="113"/>
      <c r="M10" s="136" t="s">
        <v>5</v>
      </c>
      <c r="N10" s="139"/>
      <c r="O10" s="139"/>
      <c r="P10" s="139"/>
      <c r="Q10" s="139"/>
      <c r="R10" s="139"/>
      <c r="S10" s="139"/>
      <c r="T10" s="139"/>
      <c r="U10" s="139"/>
      <c r="V10" s="139">
        <v>0</v>
      </c>
      <c r="W10" s="139"/>
      <c r="Y10" s="136" t="s">
        <v>5</v>
      </c>
      <c r="Z10" s="139"/>
      <c r="AA10" s="139"/>
      <c r="AB10" s="139"/>
      <c r="AC10" s="139"/>
      <c r="AD10" s="139"/>
      <c r="AE10" s="139"/>
      <c r="AF10" s="139"/>
      <c r="AG10" s="139"/>
      <c r="AH10" s="139">
        <v>0</v>
      </c>
      <c r="AI10" s="139"/>
      <c r="AK10" s="136" t="s">
        <v>5</v>
      </c>
      <c r="AL10" s="139"/>
      <c r="AM10" s="139"/>
      <c r="AN10" s="139"/>
      <c r="AO10" s="139"/>
      <c r="AP10" s="139"/>
      <c r="AQ10" s="139"/>
      <c r="AR10" s="139"/>
      <c r="AS10" s="139"/>
      <c r="AT10" s="139">
        <v>0</v>
      </c>
      <c r="AU10" s="139"/>
      <c r="AW10" s="136" t="s">
        <v>5</v>
      </c>
      <c r="AX10" s="139"/>
      <c r="AY10" s="139"/>
      <c r="AZ10" s="139"/>
      <c r="BA10" s="139"/>
      <c r="BB10" s="139"/>
      <c r="BC10" s="139"/>
      <c r="BD10" s="139"/>
      <c r="BE10" s="139"/>
      <c r="BF10" s="139">
        <v>0</v>
      </c>
      <c r="BG10" s="139"/>
    </row>
    <row r="11" spans="1:59" ht="18.75" x14ac:dyDescent="0.25">
      <c r="A11" s="136" t="s">
        <v>6</v>
      </c>
      <c r="B11" s="137"/>
      <c r="C11" s="137"/>
      <c r="D11" s="137"/>
      <c r="E11" s="137"/>
      <c r="F11" s="137"/>
      <c r="G11" s="137"/>
      <c r="H11" s="137"/>
      <c r="I11" s="137"/>
      <c r="J11" s="137"/>
      <c r="K11" s="137">
        <v>0</v>
      </c>
      <c r="L11" s="113"/>
      <c r="M11" s="136" t="s">
        <v>6</v>
      </c>
      <c r="N11" s="139"/>
      <c r="O11" s="139"/>
      <c r="P11" s="139"/>
      <c r="Q11" s="139"/>
      <c r="R11" s="139"/>
      <c r="S11" s="139"/>
      <c r="T11" s="139"/>
      <c r="U11" s="139"/>
      <c r="V11" s="139"/>
      <c r="W11" s="139">
        <v>0</v>
      </c>
      <c r="Y11" s="136" t="s">
        <v>6</v>
      </c>
      <c r="Z11" s="139"/>
      <c r="AA11" s="139"/>
      <c r="AB11" s="139"/>
      <c r="AC11" s="139"/>
      <c r="AD11" s="139"/>
      <c r="AE11" s="139"/>
      <c r="AF11" s="139"/>
      <c r="AG11" s="139"/>
      <c r="AH11" s="139"/>
      <c r="AI11" s="139">
        <v>0</v>
      </c>
      <c r="AK11" s="136" t="s">
        <v>6</v>
      </c>
      <c r="AL11" s="139"/>
      <c r="AM11" s="139"/>
      <c r="AN11" s="139"/>
      <c r="AO11" s="139"/>
      <c r="AP11" s="139"/>
      <c r="AQ11" s="139"/>
      <c r="AR11" s="139"/>
      <c r="AS11" s="139"/>
      <c r="AT11" s="139"/>
      <c r="AU11" s="139">
        <v>0</v>
      </c>
      <c r="AW11" s="136" t="s">
        <v>6</v>
      </c>
      <c r="AX11" s="139"/>
      <c r="AY11" s="139"/>
      <c r="AZ11" s="139"/>
      <c r="BA11" s="139"/>
      <c r="BB11" s="139"/>
      <c r="BC11" s="139"/>
      <c r="BD11" s="139"/>
      <c r="BE11" s="139"/>
      <c r="BF11" s="139"/>
      <c r="BG11" s="139">
        <v>0</v>
      </c>
    </row>
    <row r="12" spans="1:59" x14ac:dyDescent="0.25">
      <c r="A12" s="113"/>
      <c r="B12" s="113"/>
      <c r="C12" s="113"/>
      <c r="D12" s="113"/>
      <c r="E12" s="113"/>
      <c r="F12" s="113"/>
      <c r="G12" s="113"/>
      <c r="H12" s="113"/>
      <c r="I12" s="113"/>
      <c r="J12" s="113"/>
      <c r="K12" s="113"/>
      <c r="L12" s="113"/>
      <c r="M12" s="113"/>
    </row>
    <row r="13" spans="1:59" x14ac:dyDescent="0.25">
      <c r="A13" s="113"/>
      <c r="B13" s="113"/>
      <c r="C13" s="113"/>
      <c r="D13" s="113"/>
      <c r="E13" s="113"/>
      <c r="F13" s="113"/>
      <c r="G13" s="113"/>
      <c r="H13" s="113"/>
      <c r="I13" s="113"/>
      <c r="J13" s="113"/>
      <c r="K13" s="113"/>
      <c r="L13" s="113"/>
      <c r="M13" s="113"/>
    </row>
    <row r="14" spans="1:59" x14ac:dyDescent="0.25">
      <c r="A14" s="113"/>
      <c r="B14" s="113"/>
      <c r="C14" s="113"/>
      <c r="D14" s="113"/>
      <c r="E14" s="113"/>
      <c r="F14" s="113"/>
      <c r="G14" s="113"/>
      <c r="H14" s="113"/>
      <c r="I14" s="113"/>
      <c r="J14" s="113"/>
      <c r="K14" s="113"/>
      <c r="L14" s="113"/>
      <c r="M14" s="113"/>
    </row>
    <row r="16" spans="1:59" ht="37.5" x14ac:dyDescent="0.5">
      <c r="A16" s="138" t="s">
        <v>127</v>
      </c>
      <c r="B16" s="135" t="s">
        <v>558</v>
      </c>
      <c r="C16" s="136" t="s">
        <v>30</v>
      </c>
      <c r="D16" s="136" t="s">
        <v>56</v>
      </c>
      <c r="E16" s="136" t="s">
        <v>211</v>
      </c>
      <c r="F16" s="136" t="s">
        <v>1</v>
      </c>
      <c r="G16" s="136" t="s">
        <v>559</v>
      </c>
      <c r="H16" s="136" t="s">
        <v>212</v>
      </c>
      <c r="I16" s="136" t="s">
        <v>198</v>
      </c>
      <c r="J16" s="136" t="s">
        <v>560</v>
      </c>
      <c r="K16" s="136" t="s">
        <v>561</v>
      </c>
      <c r="M16" s="138" t="s">
        <v>128</v>
      </c>
      <c r="N16" s="135" t="s">
        <v>558</v>
      </c>
      <c r="O16" s="136" t="s">
        <v>30</v>
      </c>
      <c r="P16" s="136" t="s">
        <v>56</v>
      </c>
      <c r="Q16" s="136" t="s">
        <v>211</v>
      </c>
      <c r="R16" s="136" t="s">
        <v>1</v>
      </c>
      <c r="S16" s="136" t="s">
        <v>559</v>
      </c>
      <c r="T16" s="136" t="s">
        <v>212</v>
      </c>
      <c r="U16" s="136" t="s">
        <v>198</v>
      </c>
      <c r="V16" s="136" t="s">
        <v>560</v>
      </c>
      <c r="W16" s="136" t="s">
        <v>561</v>
      </c>
      <c r="Y16" s="138" t="s">
        <v>129</v>
      </c>
      <c r="Z16" s="135" t="s">
        <v>558</v>
      </c>
      <c r="AA16" s="136" t="s">
        <v>30</v>
      </c>
      <c r="AB16" s="136" t="s">
        <v>56</v>
      </c>
      <c r="AC16" s="136" t="s">
        <v>211</v>
      </c>
      <c r="AD16" s="136" t="s">
        <v>1</v>
      </c>
      <c r="AE16" s="136" t="s">
        <v>559</v>
      </c>
      <c r="AF16" s="136" t="s">
        <v>212</v>
      </c>
      <c r="AG16" s="136" t="s">
        <v>198</v>
      </c>
      <c r="AH16" s="136" t="s">
        <v>560</v>
      </c>
      <c r="AI16" s="136" t="s">
        <v>561</v>
      </c>
      <c r="AK16" s="138" t="s">
        <v>130</v>
      </c>
      <c r="AL16" s="135" t="s">
        <v>558</v>
      </c>
      <c r="AM16" s="136" t="s">
        <v>30</v>
      </c>
      <c r="AN16" s="136" t="s">
        <v>56</v>
      </c>
      <c r="AO16" s="136" t="s">
        <v>211</v>
      </c>
      <c r="AP16" s="136" t="s">
        <v>1</v>
      </c>
      <c r="AQ16" s="136" t="s">
        <v>559</v>
      </c>
      <c r="AR16" s="136" t="s">
        <v>212</v>
      </c>
      <c r="AS16" s="136" t="s">
        <v>198</v>
      </c>
      <c r="AT16" s="136" t="s">
        <v>560</v>
      </c>
      <c r="AU16" s="136" t="s">
        <v>561</v>
      </c>
      <c r="AW16" s="138" t="s">
        <v>131</v>
      </c>
      <c r="AX16" s="135" t="s">
        <v>558</v>
      </c>
      <c r="AY16" s="136" t="s">
        <v>30</v>
      </c>
      <c r="AZ16" s="136" t="s">
        <v>56</v>
      </c>
      <c r="BA16" s="136" t="s">
        <v>211</v>
      </c>
      <c r="BB16" s="136" t="s">
        <v>1</v>
      </c>
      <c r="BC16" s="136" t="s">
        <v>559</v>
      </c>
      <c r="BD16" s="136" t="s">
        <v>212</v>
      </c>
      <c r="BE16" s="136" t="s">
        <v>198</v>
      </c>
      <c r="BF16" s="136" t="s">
        <v>560</v>
      </c>
      <c r="BG16" s="136" t="s">
        <v>561</v>
      </c>
    </row>
    <row r="17" spans="1:59" ht="23.25" customHeight="1" x14ac:dyDescent="0.25">
      <c r="A17" s="135" t="s">
        <v>25</v>
      </c>
      <c r="B17" s="139">
        <v>0.5</v>
      </c>
      <c r="C17" s="139"/>
      <c r="D17" s="139"/>
      <c r="E17" s="139"/>
      <c r="F17" s="139"/>
      <c r="G17" s="139"/>
      <c r="H17" s="139"/>
      <c r="I17" s="139"/>
      <c r="J17" s="139"/>
      <c r="K17" s="139"/>
      <c r="M17" s="135" t="s">
        <v>25</v>
      </c>
      <c r="N17" s="139">
        <v>1</v>
      </c>
      <c r="O17" s="139"/>
      <c r="P17" s="139"/>
      <c r="Q17" s="139"/>
      <c r="R17" s="139"/>
      <c r="S17" s="139"/>
      <c r="T17" s="139"/>
      <c r="U17" s="139"/>
      <c r="V17" s="139"/>
      <c r="W17" s="139"/>
      <c r="Y17" s="135" t="s">
        <v>25</v>
      </c>
      <c r="Z17" s="139">
        <v>1</v>
      </c>
      <c r="AA17" s="139"/>
      <c r="AB17" s="139"/>
      <c r="AC17" s="139"/>
      <c r="AD17" s="139"/>
      <c r="AE17" s="139"/>
      <c r="AF17" s="139"/>
      <c r="AG17" s="139"/>
      <c r="AH17" s="139"/>
      <c r="AI17" s="139"/>
      <c r="AK17" s="135" t="s">
        <v>25</v>
      </c>
      <c r="AL17" s="139">
        <v>1</v>
      </c>
      <c r="AM17" s="139"/>
      <c r="AN17" s="139"/>
      <c r="AO17" s="139"/>
      <c r="AP17" s="139"/>
      <c r="AQ17" s="139"/>
      <c r="AR17" s="139"/>
      <c r="AS17" s="139"/>
      <c r="AT17" s="139"/>
      <c r="AU17" s="139"/>
      <c r="AW17" s="135" t="s">
        <v>25</v>
      </c>
      <c r="AX17" s="139">
        <v>1</v>
      </c>
      <c r="AY17" s="139"/>
      <c r="AZ17" s="139"/>
      <c r="BA17" s="139"/>
      <c r="BB17" s="139"/>
      <c r="BC17" s="139"/>
      <c r="BD17" s="139"/>
      <c r="BE17" s="139"/>
      <c r="BF17" s="139"/>
      <c r="BG17" s="139"/>
    </row>
    <row r="18" spans="1:59" ht="18.75" x14ac:dyDescent="0.25">
      <c r="A18" s="136" t="s">
        <v>30</v>
      </c>
      <c r="B18" s="139"/>
      <c r="C18" s="139">
        <v>0</v>
      </c>
      <c r="D18" s="139"/>
      <c r="E18" s="139"/>
      <c r="F18" s="139"/>
      <c r="G18" s="139"/>
      <c r="H18" s="139"/>
      <c r="I18" s="139"/>
      <c r="J18" s="139"/>
      <c r="K18" s="139"/>
      <c r="M18" s="136" t="s">
        <v>30</v>
      </c>
      <c r="N18" s="139"/>
      <c r="O18" s="139">
        <v>0.5</v>
      </c>
      <c r="P18" s="139"/>
      <c r="Q18" s="139"/>
      <c r="R18" s="139"/>
      <c r="S18" s="139"/>
      <c r="T18" s="139"/>
      <c r="U18" s="139"/>
      <c r="V18" s="139"/>
      <c r="W18" s="139"/>
      <c r="Y18" s="136" t="s">
        <v>30</v>
      </c>
      <c r="Z18" s="139"/>
      <c r="AA18" s="139">
        <v>0.5</v>
      </c>
      <c r="AB18" s="139"/>
      <c r="AC18" s="139"/>
      <c r="AD18" s="139"/>
      <c r="AE18" s="139"/>
      <c r="AF18" s="139"/>
      <c r="AG18" s="139"/>
      <c r="AH18" s="139"/>
      <c r="AI18" s="139"/>
      <c r="AK18" s="136" t="s">
        <v>30</v>
      </c>
      <c r="AL18" s="139"/>
      <c r="AM18" s="139">
        <v>0.5</v>
      </c>
      <c r="AN18" s="139"/>
      <c r="AO18" s="139"/>
      <c r="AP18" s="139"/>
      <c r="AQ18" s="139"/>
      <c r="AR18" s="139"/>
      <c r="AS18" s="139"/>
      <c r="AT18" s="139"/>
      <c r="AU18" s="139"/>
      <c r="AW18" s="136" t="s">
        <v>30</v>
      </c>
      <c r="AX18" s="139"/>
      <c r="AY18" s="139">
        <v>0.5</v>
      </c>
      <c r="AZ18" s="139"/>
      <c r="BA18" s="139"/>
      <c r="BB18" s="139"/>
      <c r="BC18" s="139"/>
      <c r="BD18" s="139"/>
      <c r="BE18" s="139"/>
      <c r="BF18" s="139"/>
      <c r="BG18" s="139"/>
    </row>
    <row r="19" spans="1:59" ht="18.75" x14ac:dyDescent="0.25">
      <c r="A19" s="136" t="s">
        <v>0</v>
      </c>
      <c r="B19" s="139"/>
      <c r="C19" s="139"/>
      <c r="D19" s="139">
        <v>0.5</v>
      </c>
      <c r="E19" s="139"/>
      <c r="F19" s="139"/>
      <c r="G19" s="139"/>
      <c r="H19" s="139"/>
      <c r="I19" s="139"/>
      <c r="J19" s="139"/>
      <c r="K19" s="139"/>
      <c r="M19" s="136" t="s">
        <v>0</v>
      </c>
      <c r="N19" s="139"/>
      <c r="O19" s="139"/>
      <c r="P19" s="139">
        <v>0</v>
      </c>
      <c r="Q19" s="139"/>
      <c r="R19" s="139"/>
      <c r="S19" s="139"/>
      <c r="T19" s="139"/>
      <c r="U19" s="139"/>
      <c r="V19" s="139"/>
      <c r="W19" s="139"/>
      <c r="Y19" s="136" t="s">
        <v>0</v>
      </c>
      <c r="Z19" s="139"/>
      <c r="AA19" s="139"/>
      <c r="AB19" s="139">
        <v>0.5</v>
      </c>
      <c r="AC19" s="139"/>
      <c r="AD19" s="139"/>
      <c r="AE19" s="139"/>
      <c r="AF19" s="139"/>
      <c r="AG19" s="139"/>
      <c r="AH19" s="139"/>
      <c r="AI19" s="139"/>
      <c r="AK19" s="136" t="s">
        <v>0</v>
      </c>
      <c r="AL19" s="139"/>
      <c r="AM19" s="139"/>
      <c r="AN19" s="139">
        <v>0.5</v>
      </c>
      <c r="AO19" s="139"/>
      <c r="AP19" s="139"/>
      <c r="AQ19" s="139"/>
      <c r="AR19" s="139"/>
      <c r="AS19" s="139"/>
      <c r="AT19" s="139"/>
      <c r="AU19" s="139"/>
      <c r="AW19" s="136" t="s">
        <v>0</v>
      </c>
      <c r="AX19" s="139"/>
      <c r="AY19" s="139"/>
      <c r="AZ19" s="139">
        <v>0.5</v>
      </c>
      <c r="BA19" s="139"/>
      <c r="BB19" s="139"/>
      <c r="BC19" s="139"/>
      <c r="BD19" s="139"/>
      <c r="BE19" s="139"/>
      <c r="BF19" s="139"/>
      <c r="BG19" s="139"/>
    </row>
    <row r="20" spans="1:59" ht="18.75" x14ac:dyDescent="0.25">
      <c r="A20" s="136" t="s">
        <v>117</v>
      </c>
      <c r="B20" s="139"/>
      <c r="C20" s="139"/>
      <c r="D20" s="139"/>
      <c r="E20" s="139">
        <v>0.33329999999999999</v>
      </c>
      <c r="F20" s="139"/>
      <c r="G20" s="139"/>
      <c r="H20" s="139"/>
      <c r="I20" s="139"/>
      <c r="J20" s="139"/>
      <c r="K20" s="139"/>
      <c r="M20" s="136" t="s">
        <v>117</v>
      </c>
      <c r="N20" s="139"/>
      <c r="O20" s="139"/>
      <c r="P20" s="139"/>
      <c r="Q20" s="139">
        <v>0.33329999999999999</v>
      </c>
      <c r="R20" s="139"/>
      <c r="S20" s="139"/>
      <c r="T20" s="139"/>
      <c r="U20" s="139"/>
      <c r="V20" s="139"/>
      <c r="W20" s="139"/>
      <c r="Y20" s="136" t="s">
        <v>117</v>
      </c>
      <c r="Z20" s="139"/>
      <c r="AA20" s="139"/>
      <c r="AB20" s="139"/>
      <c r="AC20" s="139">
        <v>0</v>
      </c>
      <c r="AD20" s="139"/>
      <c r="AE20" s="139"/>
      <c r="AF20" s="139"/>
      <c r="AG20" s="139"/>
      <c r="AH20" s="139"/>
      <c r="AI20" s="139"/>
      <c r="AK20" s="136" t="s">
        <v>117</v>
      </c>
      <c r="AL20" s="139"/>
      <c r="AM20" s="139"/>
      <c r="AN20" s="139"/>
      <c r="AO20" s="139">
        <v>0</v>
      </c>
      <c r="AP20" s="139"/>
      <c r="AQ20" s="139"/>
      <c r="AR20" s="139"/>
      <c r="AS20" s="139"/>
      <c r="AT20" s="139"/>
      <c r="AU20" s="139"/>
      <c r="AW20" s="136" t="s">
        <v>117</v>
      </c>
      <c r="AX20" s="139"/>
      <c r="AY20" s="139"/>
      <c r="AZ20" s="139"/>
      <c r="BA20" s="139">
        <v>0</v>
      </c>
      <c r="BB20" s="139"/>
      <c r="BC20" s="139"/>
      <c r="BD20" s="139"/>
      <c r="BE20" s="139"/>
      <c r="BF20" s="139"/>
      <c r="BG20" s="139"/>
    </row>
    <row r="21" spans="1:59" ht="18.75" x14ac:dyDescent="0.25">
      <c r="A21" s="136" t="s">
        <v>1</v>
      </c>
      <c r="B21" s="139"/>
      <c r="C21" s="139"/>
      <c r="D21" s="139"/>
      <c r="E21" s="139"/>
      <c r="F21" s="139">
        <v>0</v>
      </c>
      <c r="G21" s="139"/>
      <c r="H21" s="139"/>
      <c r="I21" s="139"/>
      <c r="J21" s="139"/>
      <c r="K21" s="139"/>
      <c r="M21" s="136" t="s">
        <v>1</v>
      </c>
      <c r="N21" s="139"/>
      <c r="O21" s="139"/>
      <c r="P21" s="139"/>
      <c r="Q21" s="139"/>
      <c r="R21" s="139">
        <v>0</v>
      </c>
      <c r="S21" s="139"/>
      <c r="T21" s="139"/>
      <c r="U21" s="139"/>
      <c r="V21" s="139"/>
      <c r="W21" s="139"/>
      <c r="Y21" s="136" t="s">
        <v>1</v>
      </c>
      <c r="Z21" s="139"/>
      <c r="AA21" s="139"/>
      <c r="AB21" s="139"/>
      <c r="AC21" s="139"/>
      <c r="AD21" s="139">
        <v>0</v>
      </c>
      <c r="AE21" s="139"/>
      <c r="AF21" s="139"/>
      <c r="AG21" s="139"/>
      <c r="AH21" s="139"/>
      <c r="AI21" s="139"/>
      <c r="AK21" s="136" t="s">
        <v>1</v>
      </c>
      <c r="AL21" s="139"/>
      <c r="AM21" s="139"/>
      <c r="AN21" s="139"/>
      <c r="AO21" s="139"/>
      <c r="AP21" s="139">
        <v>0</v>
      </c>
      <c r="AQ21" s="139"/>
      <c r="AR21" s="139"/>
      <c r="AS21" s="139"/>
      <c r="AT21" s="139"/>
      <c r="AU21" s="139"/>
      <c r="AW21" s="136" t="s">
        <v>1</v>
      </c>
      <c r="AX21" s="139"/>
      <c r="AY21" s="139"/>
      <c r="AZ21" s="139"/>
      <c r="BA21" s="139"/>
      <c r="BB21" s="139">
        <v>0</v>
      </c>
      <c r="BC21" s="139"/>
      <c r="BD21" s="139"/>
      <c r="BE21" s="139"/>
      <c r="BF21" s="139"/>
      <c r="BG21" s="139"/>
    </row>
    <row r="22" spans="1:59" ht="18.75" x14ac:dyDescent="0.25">
      <c r="A22" s="136" t="s">
        <v>2</v>
      </c>
      <c r="B22" s="139"/>
      <c r="C22" s="139"/>
      <c r="D22" s="139"/>
      <c r="E22" s="139"/>
      <c r="F22" s="139"/>
      <c r="G22" s="139">
        <v>0</v>
      </c>
      <c r="H22" s="139"/>
      <c r="I22" s="139"/>
      <c r="J22" s="139"/>
      <c r="K22" s="139"/>
      <c r="M22" s="136" t="s">
        <v>2</v>
      </c>
      <c r="N22" s="139"/>
      <c r="O22" s="139"/>
      <c r="P22" s="139"/>
      <c r="Q22" s="139"/>
      <c r="R22" s="139"/>
      <c r="S22" s="139">
        <v>0</v>
      </c>
      <c r="T22" s="139"/>
      <c r="U22" s="139"/>
      <c r="V22" s="139"/>
      <c r="W22" s="139"/>
      <c r="Y22" s="136" t="s">
        <v>2</v>
      </c>
      <c r="Z22" s="139"/>
      <c r="AA22" s="139"/>
      <c r="AB22" s="139"/>
      <c r="AC22" s="139"/>
      <c r="AD22" s="139"/>
      <c r="AE22" s="139">
        <v>0</v>
      </c>
      <c r="AF22" s="139"/>
      <c r="AG22" s="139"/>
      <c r="AH22" s="139"/>
      <c r="AI22" s="139"/>
      <c r="AK22" s="136" t="s">
        <v>2</v>
      </c>
      <c r="AL22" s="139"/>
      <c r="AM22" s="139"/>
      <c r="AN22" s="139"/>
      <c r="AO22" s="139"/>
      <c r="AP22" s="139"/>
      <c r="AQ22" s="139">
        <v>0</v>
      </c>
      <c r="AR22" s="139"/>
      <c r="AS22" s="139"/>
      <c r="AT22" s="139"/>
      <c r="AU22" s="139"/>
      <c r="AW22" s="136" t="s">
        <v>2</v>
      </c>
      <c r="AX22" s="139"/>
      <c r="AY22" s="139"/>
      <c r="AZ22" s="139"/>
      <c r="BA22" s="139"/>
      <c r="BB22" s="139"/>
      <c r="BC22" s="139">
        <v>0</v>
      </c>
      <c r="BD22" s="139"/>
      <c r="BE22" s="139"/>
      <c r="BF22" s="139"/>
      <c r="BG22" s="139"/>
    </row>
    <row r="23" spans="1:59" ht="18.75" x14ac:dyDescent="0.25">
      <c r="A23" s="136" t="s">
        <v>3</v>
      </c>
      <c r="B23" s="139"/>
      <c r="C23" s="139"/>
      <c r="D23" s="139"/>
      <c r="E23" s="139"/>
      <c r="F23" s="139"/>
      <c r="G23" s="139"/>
      <c r="H23" s="139">
        <v>0.5</v>
      </c>
      <c r="I23" s="139"/>
      <c r="J23" s="139"/>
      <c r="K23" s="139"/>
      <c r="M23" s="136" t="s">
        <v>3</v>
      </c>
      <c r="N23" s="139"/>
      <c r="O23" s="139"/>
      <c r="P23" s="139"/>
      <c r="Q23" s="139"/>
      <c r="R23" s="139"/>
      <c r="S23" s="139"/>
      <c r="T23" s="139">
        <v>0</v>
      </c>
      <c r="U23" s="139"/>
      <c r="V23" s="139"/>
      <c r="W23" s="139"/>
      <c r="Y23" s="136" t="s">
        <v>3</v>
      </c>
      <c r="Z23" s="139"/>
      <c r="AA23" s="139"/>
      <c r="AB23" s="139"/>
      <c r="AC23" s="139"/>
      <c r="AD23" s="139"/>
      <c r="AE23" s="139"/>
      <c r="AF23" s="139">
        <v>0</v>
      </c>
      <c r="AG23" s="139"/>
      <c r="AH23" s="139"/>
      <c r="AI23" s="139"/>
      <c r="AK23" s="136" t="s">
        <v>3</v>
      </c>
      <c r="AL23" s="139"/>
      <c r="AM23" s="139"/>
      <c r="AN23" s="139"/>
      <c r="AO23" s="139"/>
      <c r="AP23" s="139"/>
      <c r="AQ23" s="139"/>
      <c r="AR23" s="139">
        <v>0.5</v>
      </c>
      <c r="AS23" s="139"/>
      <c r="AT23" s="139"/>
      <c r="AU23" s="139"/>
      <c r="AW23" s="136" t="s">
        <v>3</v>
      </c>
      <c r="AX23" s="139"/>
      <c r="AY23" s="139"/>
      <c r="AZ23" s="139"/>
      <c r="BA23" s="139"/>
      <c r="BB23" s="139"/>
      <c r="BC23" s="139"/>
      <c r="BD23" s="139">
        <v>0.5</v>
      </c>
      <c r="BE23" s="139"/>
      <c r="BF23" s="139"/>
      <c r="BG23" s="139"/>
    </row>
    <row r="24" spans="1:59" ht="18.75" x14ac:dyDescent="0.25">
      <c r="A24" s="136" t="s">
        <v>4</v>
      </c>
      <c r="B24" s="139"/>
      <c r="C24" s="139"/>
      <c r="D24" s="139"/>
      <c r="E24" s="139"/>
      <c r="F24" s="139"/>
      <c r="G24" s="139"/>
      <c r="H24" s="139"/>
      <c r="I24" s="139">
        <v>0</v>
      </c>
      <c r="J24" s="139"/>
      <c r="K24" s="139"/>
      <c r="M24" s="136" t="s">
        <v>4</v>
      </c>
      <c r="N24" s="139"/>
      <c r="O24" s="139"/>
      <c r="P24" s="139"/>
      <c r="Q24" s="139"/>
      <c r="R24" s="139"/>
      <c r="S24" s="139"/>
      <c r="T24" s="139"/>
      <c r="U24" s="139">
        <v>0</v>
      </c>
      <c r="V24" s="139"/>
      <c r="W24" s="139"/>
      <c r="Y24" s="136" t="s">
        <v>4</v>
      </c>
      <c r="Z24" s="139"/>
      <c r="AA24" s="139"/>
      <c r="AB24" s="139"/>
      <c r="AC24" s="139"/>
      <c r="AD24" s="139"/>
      <c r="AE24" s="139"/>
      <c r="AF24" s="139"/>
      <c r="AG24" s="139">
        <v>0</v>
      </c>
      <c r="AH24" s="139"/>
      <c r="AI24" s="139"/>
      <c r="AK24" s="136" t="s">
        <v>4</v>
      </c>
      <c r="AL24" s="139"/>
      <c r="AM24" s="139"/>
      <c r="AN24" s="139"/>
      <c r="AO24" s="139"/>
      <c r="AP24" s="139"/>
      <c r="AQ24" s="139"/>
      <c r="AR24" s="139"/>
      <c r="AS24" s="139">
        <v>0</v>
      </c>
      <c r="AT24" s="139"/>
      <c r="AU24" s="139"/>
      <c r="AW24" s="136" t="s">
        <v>4</v>
      </c>
      <c r="AX24" s="139"/>
      <c r="AY24" s="139"/>
      <c r="AZ24" s="139"/>
      <c r="BA24" s="139"/>
      <c r="BB24" s="139"/>
      <c r="BC24" s="139"/>
      <c r="BD24" s="139"/>
      <c r="BE24" s="139">
        <v>0</v>
      </c>
      <c r="BF24" s="139"/>
      <c r="BG24" s="139"/>
    </row>
    <row r="25" spans="1:59" ht="18.75" x14ac:dyDescent="0.25">
      <c r="A25" s="136" t="s">
        <v>5</v>
      </c>
      <c r="B25" s="139"/>
      <c r="C25" s="139"/>
      <c r="D25" s="139"/>
      <c r="E25" s="139"/>
      <c r="F25" s="139"/>
      <c r="G25" s="139"/>
      <c r="H25" s="139"/>
      <c r="I25" s="139"/>
      <c r="J25" s="139">
        <v>0</v>
      </c>
      <c r="K25" s="139"/>
      <c r="M25" s="136" t="s">
        <v>5</v>
      </c>
      <c r="N25" s="139"/>
      <c r="O25" s="139"/>
      <c r="P25" s="139"/>
      <c r="Q25" s="139"/>
      <c r="R25" s="139"/>
      <c r="S25" s="139"/>
      <c r="T25" s="139"/>
      <c r="U25" s="139"/>
      <c r="V25" s="139">
        <v>0</v>
      </c>
      <c r="W25" s="139"/>
      <c r="Y25" s="136" t="s">
        <v>5</v>
      </c>
      <c r="Z25" s="139"/>
      <c r="AA25" s="139"/>
      <c r="AB25" s="139"/>
      <c r="AC25" s="139"/>
      <c r="AD25" s="139"/>
      <c r="AE25" s="139"/>
      <c r="AF25" s="139"/>
      <c r="AG25" s="139"/>
      <c r="AH25" s="139">
        <v>0</v>
      </c>
      <c r="AI25" s="139"/>
      <c r="AK25" s="136" t="s">
        <v>5</v>
      </c>
      <c r="AL25" s="139"/>
      <c r="AM25" s="139"/>
      <c r="AN25" s="139"/>
      <c r="AO25" s="139"/>
      <c r="AP25" s="139"/>
      <c r="AQ25" s="139"/>
      <c r="AR25" s="139"/>
      <c r="AS25" s="139"/>
      <c r="AT25" s="139">
        <v>0</v>
      </c>
      <c r="AU25" s="139"/>
      <c r="AW25" s="136" t="s">
        <v>5</v>
      </c>
      <c r="AX25" s="139"/>
      <c r="AY25" s="139"/>
      <c r="AZ25" s="139"/>
      <c r="BA25" s="139"/>
      <c r="BB25" s="139"/>
      <c r="BC25" s="139"/>
      <c r="BD25" s="139"/>
      <c r="BE25" s="139"/>
      <c r="BF25" s="139">
        <v>0</v>
      </c>
      <c r="BG25" s="139"/>
    </row>
    <row r="26" spans="1:59" ht="18.75" x14ac:dyDescent="0.25">
      <c r="A26" s="136" t="s">
        <v>6</v>
      </c>
      <c r="B26" s="139"/>
      <c r="C26" s="139"/>
      <c r="D26" s="139"/>
      <c r="E26" s="139"/>
      <c r="F26" s="139"/>
      <c r="G26" s="139"/>
      <c r="H26" s="139"/>
      <c r="I26" s="139"/>
      <c r="J26" s="139"/>
      <c r="K26" s="139">
        <v>0</v>
      </c>
      <c r="M26" s="136" t="s">
        <v>6</v>
      </c>
      <c r="N26" s="139"/>
      <c r="O26" s="139"/>
      <c r="P26" s="139"/>
      <c r="Q26" s="139"/>
      <c r="R26" s="139"/>
      <c r="S26" s="139"/>
      <c r="T26" s="139"/>
      <c r="U26" s="139"/>
      <c r="V26" s="139"/>
      <c r="W26" s="139">
        <v>0</v>
      </c>
      <c r="Y26" s="136" t="s">
        <v>6</v>
      </c>
      <c r="Z26" s="139"/>
      <c r="AA26" s="139"/>
      <c r="AB26" s="139"/>
      <c r="AC26" s="139"/>
      <c r="AD26" s="139"/>
      <c r="AE26" s="139"/>
      <c r="AF26" s="139"/>
      <c r="AG26" s="139"/>
      <c r="AH26" s="139"/>
      <c r="AI26" s="139">
        <v>0</v>
      </c>
      <c r="AK26" s="136" t="s">
        <v>6</v>
      </c>
      <c r="AL26" s="139"/>
      <c r="AM26" s="139"/>
      <c r="AN26" s="139"/>
      <c r="AO26" s="139"/>
      <c r="AP26" s="139"/>
      <c r="AQ26" s="139"/>
      <c r="AR26" s="139"/>
      <c r="AS26" s="139"/>
      <c r="AT26" s="139"/>
      <c r="AU26" s="139">
        <v>0</v>
      </c>
      <c r="AW26" s="136" t="s">
        <v>6</v>
      </c>
      <c r="AX26" s="139"/>
      <c r="AY26" s="139"/>
      <c r="AZ26" s="139"/>
      <c r="BA26" s="139"/>
      <c r="BB26" s="139"/>
      <c r="BC26" s="139"/>
      <c r="BD26" s="139"/>
      <c r="BE26" s="139"/>
      <c r="BF26" s="139"/>
      <c r="BG26" s="139">
        <v>0</v>
      </c>
    </row>
    <row r="30" spans="1:59" ht="23.25" x14ac:dyDescent="0.35">
      <c r="A30" s="140" t="s">
        <v>563</v>
      </c>
      <c r="B30" s="141" t="s">
        <v>562</v>
      </c>
    </row>
    <row r="31" spans="1:59" ht="23.25" x14ac:dyDescent="0.35">
      <c r="A31" s="142" t="s">
        <v>25</v>
      </c>
      <c r="B31" s="144">
        <f>AVERAGE(B2,N2,Z2,AL2,AX2,B17,N17,Z17,AL17,AX17)</f>
        <v>0.74965999999999999</v>
      </c>
    </row>
    <row r="32" spans="1:59" ht="23.25" x14ac:dyDescent="0.35">
      <c r="A32" s="143" t="s">
        <v>30</v>
      </c>
      <c r="B32" s="144">
        <f>AVERAGE(C3,O3,AA3,AM3,AY3,C18,O18,AA18,AM18,AY18)</f>
        <v>0.4</v>
      </c>
    </row>
    <row r="33" spans="1:13" ht="23.25" x14ac:dyDescent="0.35">
      <c r="A33" s="143" t="s">
        <v>0</v>
      </c>
      <c r="B33" s="144">
        <f>AVERAGE(D4,P4,AB4,AN4,AZ4,AZ19,AN19,AB19,P19,D19)</f>
        <v>0.33300000000000002</v>
      </c>
    </row>
    <row r="34" spans="1:13" ht="23.25" x14ac:dyDescent="0.35">
      <c r="A34" s="143" t="s">
        <v>117</v>
      </c>
      <c r="B34" s="144">
        <f>AVERAGE(E5,Q5,AO5,BA5,AC5,E20,Q20,AC20,AO20,BA20)</f>
        <v>0.16665999999999997</v>
      </c>
      <c r="G34" s="163" t="s">
        <v>565</v>
      </c>
      <c r="H34" s="163"/>
      <c r="I34" s="163"/>
      <c r="J34" s="163"/>
      <c r="K34" s="163"/>
      <c r="L34" s="163"/>
      <c r="M34" s="163"/>
    </row>
    <row r="35" spans="1:13" ht="23.25" x14ac:dyDescent="0.35">
      <c r="A35" s="143" t="s">
        <v>1</v>
      </c>
      <c r="B35" s="144">
        <f>AVERAGE(F6,R6,AD6,AP6,BB6,BB21,AP21,AD21,R21,F21)</f>
        <v>0</v>
      </c>
      <c r="G35" s="163"/>
      <c r="H35" s="163"/>
      <c r="I35" s="163"/>
      <c r="J35" s="163"/>
      <c r="K35" s="163"/>
      <c r="L35" s="163"/>
      <c r="M35" s="163"/>
    </row>
    <row r="36" spans="1:13" ht="23.25" x14ac:dyDescent="0.35">
      <c r="A36" s="143" t="s">
        <v>2</v>
      </c>
      <c r="B36" s="144">
        <f>AVERAGE(BC22)</f>
        <v>0</v>
      </c>
      <c r="G36" s="163"/>
      <c r="H36" s="163"/>
      <c r="I36" s="163"/>
      <c r="J36" s="163"/>
      <c r="K36" s="163"/>
      <c r="L36" s="163"/>
      <c r="M36" s="163"/>
    </row>
    <row r="37" spans="1:13" ht="23.25" x14ac:dyDescent="0.35">
      <c r="A37" s="143" t="s">
        <v>3</v>
      </c>
      <c r="B37" s="144">
        <f>AVERAGE(H8,T8,AF8,AR8,BD8,BD23,AR23,AF23,T23,H23)</f>
        <v>0.3</v>
      </c>
      <c r="G37" s="163"/>
      <c r="H37" s="163"/>
      <c r="I37" s="163"/>
      <c r="J37" s="163"/>
      <c r="K37" s="163"/>
      <c r="L37" s="163"/>
      <c r="M37" s="163"/>
    </row>
    <row r="38" spans="1:13" ht="23.25" x14ac:dyDescent="0.35">
      <c r="A38" s="143" t="s">
        <v>4</v>
      </c>
      <c r="B38" s="144">
        <f>AVERAGE(I9,U9,AG9,AS9,BE9,BE24,AS24,AG24,U24,I24)</f>
        <v>0.05</v>
      </c>
      <c r="G38" s="163"/>
      <c r="H38" s="163"/>
      <c r="I38" s="163"/>
      <c r="J38" s="163"/>
      <c r="K38" s="163"/>
      <c r="L38" s="163"/>
      <c r="M38" s="163"/>
    </row>
    <row r="39" spans="1:13" ht="23.25" x14ac:dyDescent="0.35">
      <c r="A39" s="143" t="s">
        <v>5</v>
      </c>
      <c r="B39" s="144">
        <f>AVERAGE(J10,V10,AH10,AT10,BF10,BF25,AT25,AH25,V25,J25)</f>
        <v>0</v>
      </c>
      <c r="G39" s="163"/>
      <c r="H39" s="163"/>
      <c r="I39" s="163"/>
      <c r="J39" s="163"/>
      <c r="K39" s="163"/>
      <c r="L39" s="163"/>
      <c r="M39" s="163"/>
    </row>
    <row r="40" spans="1:13" ht="23.25" x14ac:dyDescent="0.35">
      <c r="A40" s="143" t="s">
        <v>6</v>
      </c>
      <c r="B40" s="144">
        <f>AVERAGE(K11,W11,AI11,K26,W26,AI26,AU11,AU26,BG11,BG26)</f>
        <v>0</v>
      </c>
    </row>
    <row r="42" spans="1:13" ht="23.25" x14ac:dyDescent="0.25">
      <c r="A42" s="146" t="s">
        <v>564</v>
      </c>
    </row>
    <row r="43" spans="1:13" x14ac:dyDescent="0.25">
      <c r="A43" t="s">
        <v>1</v>
      </c>
      <c r="B43" s="145">
        <v>0</v>
      </c>
    </row>
    <row r="44" spans="1:13" x14ac:dyDescent="0.25">
      <c r="A44" t="s">
        <v>2</v>
      </c>
      <c r="B44" s="145">
        <v>0</v>
      </c>
    </row>
    <row r="45" spans="1:13" x14ac:dyDescent="0.25">
      <c r="A45" t="s">
        <v>5</v>
      </c>
      <c r="B45" s="145">
        <v>0</v>
      </c>
    </row>
    <row r="46" spans="1:13" x14ac:dyDescent="0.25">
      <c r="A46" t="s">
        <v>6</v>
      </c>
      <c r="B46" s="145">
        <v>0</v>
      </c>
    </row>
    <row r="47" spans="1:13" x14ac:dyDescent="0.25">
      <c r="A47" t="s">
        <v>4</v>
      </c>
      <c r="B47" s="145">
        <v>0.05</v>
      </c>
    </row>
    <row r="48" spans="1:13" x14ac:dyDescent="0.25">
      <c r="A48" t="s">
        <v>117</v>
      </c>
      <c r="B48" s="145">
        <v>0.16665999999999997</v>
      </c>
    </row>
    <row r="49" spans="1:2" x14ac:dyDescent="0.25">
      <c r="A49" t="s">
        <v>569</v>
      </c>
      <c r="B49" s="145">
        <v>0.3</v>
      </c>
    </row>
    <row r="50" spans="1:2" x14ac:dyDescent="0.25">
      <c r="A50" t="s">
        <v>0</v>
      </c>
      <c r="B50" s="145">
        <v>0.33300000000000002</v>
      </c>
    </row>
    <row r="51" spans="1:2" x14ac:dyDescent="0.25">
      <c r="A51" t="s">
        <v>30</v>
      </c>
      <c r="B51" s="145">
        <v>0.4</v>
      </c>
    </row>
    <row r="52" spans="1:2" x14ac:dyDescent="0.25">
      <c r="A52" t="s">
        <v>25</v>
      </c>
      <c r="B52" s="145">
        <v>0.74965999999999999</v>
      </c>
    </row>
  </sheetData>
  <mergeCells count="1">
    <mergeCell ref="G34:M39"/>
  </mergeCells>
  <pageMargins left="0.7" right="0.7" top="0.75" bottom="0.75" header="0.3" footer="0.3"/>
  <pageSetup scale="14" orientation="portrait" r:id="rId1"/>
  <drawing r:id="rId2"/>
</worksheet>
</file>

<file path=docMetadata/LabelInfo.xml><?xml version="1.0" encoding="utf-8"?>
<clbl:labelList xmlns:clbl="http://schemas.microsoft.com/office/2020/mipLabelMetadata">
  <clbl:label id="{08fe1c0a-19f5-4f24-a662-fdd5dd460025}" enabled="0" method="" siteId="{08fe1c0a-19f5-4f24-a662-fdd5dd46002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Task 1 - Bubble Sort</vt:lpstr>
      <vt:lpstr>Task 2 - CLA</vt:lpstr>
      <vt:lpstr>Task-3 FSM</vt:lpstr>
      <vt:lpstr>Task 4 - I2C</vt:lpstr>
      <vt:lpstr>Task 5 -MPI</vt:lpstr>
      <vt:lpstr>Task 6-MR</vt:lpstr>
      <vt:lpstr>Task 7-OOP</vt:lpstr>
      <vt:lpstr>Task 8-PI</vt:lpstr>
      <vt:lpstr>Task 9-RM</vt:lpstr>
      <vt:lpstr>Task 10-SA</vt:lpstr>
      <vt:lpstr>RQ 2- Topic-wise analysis</vt:lpstr>
      <vt:lpstr>RQ 1- part A and B. All models</vt:lpstr>
      <vt:lpstr>Topic agnositc analysis-1</vt:lpstr>
      <vt:lpstr>RQ-1-C -Topic agn anal-2</vt:lpstr>
      <vt:lpstr>RQ3- AI identifier</vt:lpstr>
      <vt:lpstr>RQ-1-D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Mehbub Alam</dc:creator>
  <cp:lastModifiedBy>Mehbub Alam</cp:lastModifiedBy>
  <cp:lastPrinted>2025-08-29T06:25:32Z</cp:lastPrinted>
  <dcterms:created xsi:type="dcterms:W3CDTF">2015-06-05T18:17:20Z</dcterms:created>
  <dcterms:modified xsi:type="dcterms:W3CDTF">2025-09-03T04:38:34Z</dcterms:modified>
</cp:coreProperties>
</file>