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abdulhadi.shoufan\Dropbox\Research\AI Detectors\"/>
    </mc:Choice>
  </mc:AlternateContent>
  <xr:revisionPtr revIDLastSave="0" documentId="8_{DF45CB1D-9467-49E2-A487-098D833B17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nal 2025-10-05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6" l="1"/>
  <c r="F8" i="6"/>
  <c r="F7" i="6"/>
  <c r="F39" i="6"/>
  <c r="F42" i="6" s="1"/>
  <c r="F28" i="6"/>
  <c r="F29" i="6" s="1"/>
  <c r="F27" i="6"/>
  <c r="F26" i="6"/>
  <c r="F25" i="6"/>
  <c r="F17" i="6"/>
  <c r="F21" i="6" s="1"/>
  <c r="F3" i="6"/>
  <c r="F2" i="6"/>
  <c r="F1" i="6"/>
  <c r="F4" i="6" l="1"/>
  <c r="F32" i="6"/>
  <c r="F31" i="6"/>
  <c r="F30" i="6"/>
  <c r="F18" i="6"/>
  <c r="F33" i="6"/>
  <c r="F19" i="6"/>
  <c r="F20" i="6"/>
  <c r="F40" i="6"/>
  <c r="F41" i="6"/>
</calcChain>
</file>

<file path=xl/sharedStrings.xml><?xml version="1.0" encoding="utf-8"?>
<sst xmlns="http://schemas.openxmlformats.org/spreadsheetml/2006/main" count="57" uniqueCount="32">
  <si>
    <t>Content</t>
  </si>
  <si>
    <t>Style</t>
  </si>
  <si>
    <t>Conventions and Mechanics</t>
  </si>
  <si>
    <t>Accuracy</t>
  </si>
  <si>
    <t>Clarity</t>
  </si>
  <si>
    <t>No typos or spelling errors</t>
  </si>
  <si>
    <t>Tone</t>
  </si>
  <si>
    <t>Diction</t>
  </si>
  <si>
    <t>Voice</t>
  </si>
  <si>
    <t>Using figurative language</t>
  </si>
  <si>
    <t>Conciseness</t>
  </si>
  <si>
    <t>Providing details</t>
  </si>
  <si>
    <t>Using formal language</t>
  </si>
  <si>
    <t>Using technical terms</t>
  </si>
  <si>
    <t>Using typical AI phrases</t>
  </si>
  <si>
    <t>Consistency</t>
  </si>
  <si>
    <t>Logical flow of ideas</t>
  </si>
  <si>
    <t>Linear organization of ideas</t>
  </si>
  <si>
    <t>Well organizated ideas</t>
  </si>
  <si>
    <t>Educational tone</t>
  </si>
  <si>
    <t>Impersonal and neutral language</t>
  </si>
  <si>
    <t>Using standard examples and analogies</t>
  </si>
  <si>
    <t>Using formatting and structure</t>
  </si>
  <si>
    <t>No Grammar Errors</t>
  </si>
  <si>
    <t>Adherence to question</t>
  </si>
  <si>
    <t>Citation style</t>
  </si>
  <si>
    <t>Using generic code</t>
  </si>
  <si>
    <t>Direct reference to a model</t>
  </si>
  <si>
    <t>Logical Organization</t>
  </si>
  <si>
    <t>Conventions and mechanics</t>
  </si>
  <si>
    <t>Logical organization</t>
  </si>
  <si>
    <t>move to conciseness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</si>
</sst>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rgb="FFFF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2" applyBorder="1"/>
    <xf numFmtId="0" fontId="0" fillId="0" borderId="1" xfId="0" applyBorder="1" applyAlignment="1">
      <alignment horizontal="center" vertical="center" wrapText="1"/>
    </xf>
    <xf numFmtId="0" fontId="1" fillId="0" borderId="1" xfId="2" applyBorder="1" applyAlignment="1">
      <alignment horizontal="center"/>
    </xf>
    <xf numFmtId="0" fontId="1" fillId="2" borderId="1" xfId="2" applyFill="1" applyBorder="1"/>
    <xf numFmtId="0" fontId="1" fillId="2" borderId="1" xfId="2" applyFill="1" applyBorder="1" applyAlignment="1">
      <alignment horizontal="center"/>
    </xf>
    <xf numFmtId="0" fontId="1" fillId="3" borderId="1" xfId="2" applyFill="1" applyBorder="1"/>
    <xf numFmtId="0" fontId="1" fillId="3" borderId="1" xfId="2" applyFill="1" applyBorder="1" applyAlignment="1">
      <alignment horizontal="center"/>
    </xf>
    <xf numFmtId="0" fontId="1" fillId="4" borderId="1" xfId="2" applyFill="1" applyBorder="1"/>
    <xf numFmtId="0" fontId="1" fillId="4" borderId="1" xfId="2" applyFill="1" applyBorder="1" applyAlignment="1">
      <alignment horizontal="center"/>
    </xf>
    <xf numFmtId="0" fontId="1" fillId="5" borderId="1" xfId="2" applyFill="1" applyBorder="1"/>
    <xf numFmtId="0" fontId="1" fillId="5" borderId="1" xfId="2" applyFill="1" applyBorder="1" applyAlignment="1">
      <alignment horizontal="center"/>
    </xf>
    <xf numFmtId="0" fontId="1" fillId="6" borderId="1" xfId="2" applyFill="1" applyBorder="1"/>
    <xf numFmtId="0" fontId="1" fillId="6" borderId="1" xfId="2" applyFill="1" applyBorder="1" applyAlignment="1">
      <alignment horizontal="center"/>
    </xf>
    <xf numFmtId="0" fontId="1" fillId="7" borderId="1" xfId="2" applyFill="1" applyBorder="1"/>
    <xf numFmtId="0" fontId="1" fillId="7" borderId="1" xfId="2" applyFill="1" applyBorder="1" applyAlignment="1">
      <alignment horizontal="center"/>
    </xf>
    <xf numFmtId="9" fontId="0" fillId="0" borderId="0" xfId="1" applyFont="1"/>
    <xf numFmtId="9" fontId="3" fillId="0" borderId="0" xfId="1" applyFont="1"/>
    <xf numFmtId="9" fontId="0" fillId="2" borderId="1" xfId="1" applyFont="1" applyFill="1" applyBorder="1"/>
    <xf numFmtId="0" fontId="3" fillId="3" borderId="1" xfId="0" applyFont="1" applyFill="1" applyBorder="1"/>
    <xf numFmtId="0" fontId="0" fillId="3" borderId="1" xfId="0" applyFill="1" applyBorder="1"/>
    <xf numFmtId="9" fontId="3" fillId="3" borderId="1" xfId="1" applyFont="1" applyFill="1" applyBorder="1"/>
    <xf numFmtId="9" fontId="0" fillId="3" borderId="1" xfId="1" applyFont="1" applyFill="1" applyBorder="1"/>
    <xf numFmtId="9" fontId="0" fillId="5" borderId="1" xfId="1" applyFont="1" applyFill="1" applyBorder="1"/>
    <xf numFmtId="0" fontId="4" fillId="7" borderId="1" xfId="2" applyFont="1" applyFill="1" applyBorder="1"/>
    <xf numFmtId="0" fontId="4" fillId="7" borderId="1" xfId="2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9E32C4D3-42ED-4922-955F-332D14235702}"/>
    <cellStyle name="Percent" xfId="1" builtinId="5"/>
  </cellStyles>
  <dxfs count="0"/>
  <tableStyles count="0" defaultTableStyle="TableStyleMedium2" defaultPivotStyle="PivotStyleLight16"/>
  <colors>
    <mruColors>
      <color rgb="FFBCE2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Indicator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'Final 2025-10-05'!$E$7:$E$9</c:f>
              <c:strCache>
                <c:ptCount val="3"/>
                <c:pt idx="0">
                  <c:v>Conventions and mechanics</c:v>
                </c:pt>
                <c:pt idx="1">
                  <c:v>Content</c:v>
                </c:pt>
                <c:pt idx="2">
                  <c:v>Style</c:v>
                </c:pt>
              </c:strCache>
            </c:strRef>
          </c:cat>
          <c:val>
            <c:numRef>
              <c:f>'Final 2025-10-05'!$F$7:$F$9</c:f>
              <c:numCache>
                <c:formatCode>0%</c:formatCode>
                <c:ptCount val="3"/>
                <c:pt idx="0">
                  <c:v>0.150278293135436</c:v>
                </c:pt>
                <c:pt idx="1">
                  <c:v>0.19758812615955473</c:v>
                </c:pt>
                <c:pt idx="2">
                  <c:v>0.65213358070500926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7-4F82-A40B-2704EAC12D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10688431"/>
        <c:axId val="910696591"/>
      </c:barChart>
      <c:catAx>
        <c:axId val="910688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696591"/>
        <c:crosses val="autoZero"/>
        <c:auto val="1"/>
        <c:lblAlgn val="ctr"/>
        <c:lblOffset val="100"/>
        <c:noMultiLvlLbl val="0"/>
      </c:catAx>
      <c:valAx>
        <c:axId val="910696591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91068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Content-Related</a:t>
            </a:r>
            <a:r>
              <a:rPr lang="en-US" baseline="0"/>
              <a:t> </a:t>
            </a:r>
            <a:r>
              <a:rPr lang="en-US"/>
              <a:t>Indicators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'Final 2025-10-05'!$E$18:$E$21</c:f>
              <c:strCache>
                <c:ptCount val="4"/>
                <c:pt idx="0">
                  <c:v>Conciseness</c:v>
                </c:pt>
                <c:pt idx="1">
                  <c:v>Clarity</c:v>
                </c:pt>
                <c:pt idx="2">
                  <c:v>Accuracy</c:v>
                </c:pt>
                <c:pt idx="3">
                  <c:v>Providing details</c:v>
                </c:pt>
              </c:strCache>
            </c:strRef>
          </c:cat>
          <c:val>
            <c:numRef>
              <c:f>'Final 2025-10-05'!$F$18:$F$21</c:f>
              <c:numCache>
                <c:formatCode>0%</c:formatCode>
                <c:ptCount val="4"/>
                <c:pt idx="0">
                  <c:v>0.16901408450704225</c:v>
                </c:pt>
                <c:pt idx="1">
                  <c:v>0.25821596244131456</c:v>
                </c:pt>
                <c:pt idx="2">
                  <c:v>0.26760563380281688</c:v>
                </c:pt>
                <c:pt idx="3">
                  <c:v>0.30516431924882631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6-43D5-9781-B3D74215D3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10717711"/>
        <c:axId val="910702831"/>
      </c:barChart>
      <c:catAx>
        <c:axId val="910717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02831"/>
        <c:crosses val="autoZero"/>
        <c:auto val="1"/>
        <c:lblAlgn val="ctr"/>
        <c:lblOffset val="100"/>
        <c:noMultiLvlLbl val="0"/>
      </c:catAx>
      <c:valAx>
        <c:axId val="910702831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91071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Style-Related Indicators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'Final 2025-10-05'!$E$30:$E$33</c:f>
              <c:strCache>
                <c:ptCount val="4"/>
                <c:pt idx="0">
                  <c:v>Voice</c:v>
                </c:pt>
                <c:pt idx="1">
                  <c:v>Diction</c:v>
                </c:pt>
                <c:pt idx="2">
                  <c:v>Tone</c:v>
                </c:pt>
                <c:pt idx="3">
                  <c:v>Logical organization</c:v>
                </c:pt>
              </c:strCache>
            </c:strRef>
          </c:cat>
          <c:val>
            <c:numRef>
              <c:f>'Final 2025-10-05'!$F$30:$F$33</c:f>
              <c:numCache>
                <c:formatCode>0%</c:formatCode>
                <c:ptCount val="4"/>
                <c:pt idx="0">
                  <c:v>0.13513513513513514</c:v>
                </c:pt>
                <c:pt idx="1">
                  <c:v>0.20483641536273114</c:v>
                </c:pt>
                <c:pt idx="2">
                  <c:v>0.24039829302987198</c:v>
                </c:pt>
                <c:pt idx="3">
                  <c:v>0.41963015647226176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D-42EB-AA66-E16DD335A6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21147824"/>
        <c:axId val="1121149264"/>
      </c:barChart>
      <c:catAx>
        <c:axId val="112114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149264"/>
        <c:crosses val="autoZero"/>
        <c:auto val="1"/>
        <c:lblAlgn val="ctr"/>
        <c:lblOffset val="100"/>
        <c:noMultiLvlLbl val="0"/>
      </c:catAx>
      <c:valAx>
        <c:axId val="112114926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2114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Convention and Mechanics-Related Indicators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'Final 2025-10-05'!$E$40:$E$42</c:f>
              <c:strCache>
                <c:ptCount val="3"/>
                <c:pt idx="0">
                  <c:v>No Grammar Errors</c:v>
                </c:pt>
                <c:pt idx="1">
                  <c:v>No typos or spelling errors</c:v>
                </c:pt>
                <c:pt idx="2">
                  <c:v>Using formatting and structure</c:v>
                </c:pt>
              </c:strCache>
            </c:strRef>
          </c:cat>
          <c:val>
            <c:numRef>
              <c:f>'Final 2025-10-05'!$F$40:$F$42</c:f>
              <c:numCache>
                <c:formatCode>0%</c:formatCode>
                <c:ptCount val="3"/>
                <c:pt idx="0">
                  <c:v>0.13580246913580246</c:v>
                </c:pt>
                <c:pt idx="1">
                  <c:v>0.1419753086419753</c:v>
                </c:pt>
                <c:pt idx="2">
                  <c:v>0.72222222222222221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1-4E22-9EB9-64D8B2A3ED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21107504"/>
        <c:axId val="1121093104"/>
      </c:barChart>
      <c:catAx>
        <c:axId val="112110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093104"/>
        <c:crosses val="autoZero"/>
        <c:auto val="1"/>
        <c:lblAlgn val="ctr"/>
        <c:lblOffset val="100"/>
        <c:noMultiLvlLbl val="0"/>
      </c:catAx>
      <c:valAx>
        <c:axId val="112109310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2110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0</xdr:row>
      <xdr:rowOff>171450</xdr:rowOff>
    </xdr:from>
    <xdr:to>
      <xdr:col>16</xdr:col>
      <xdr:colOff>600075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D1D859-FA54-46E5-9E02-6199065D7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9524</xdr:colOff>
      <xdr:row>18</xdr:row>
      <xdr:rowOff>38099</xdr:rowOff>
    </xdr:from>
    <xdr:to>
      <xdr:col>16</xdr:col>
      <xdr:colOff>609599</xdr:colOff>
      <xdr:row>35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F7E232-0D26-4210-8E51-7D83075176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</xdr:colOff>
      <xdr:row>38</xdr:row>
      <xdr:rowOff>9525</xdr:rowOff>
    </xdr:from>
    <xdr:to>
      <xdr:col>17</xdr:col>
      <xdr:colOff>0</xdr:colOff>
      <xdr:row>58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5EBCAD-852D-4B56-B4C3-894DACB06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17317</xdr:colOff>
      <xdr:row>59</xdr:row>
      <xdr:rowOff>135083</xdr:rowOff>
    </xdr:from>
    <xdr:to>
      <xdr:col>16</xdr:col>
      <xdr:colOff>588817</xdr:colOff>
      <xdr:row>77</xdr:row>
      <xdr:rowOff>72737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334757-9EFE-4C15-859B-D87D2AE10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8881B-3B4D-415A-95BE-81FA97E8F762}">
  <dimension ref="A1:G42"/>
  <sheetViews>
    <sheetView tabSelected="1" zoomScale="85" zoomScaleNormal="85" workbookViewId="0">
      <selection activeCell="F4" sqref="F4"/>
    </sheetView>
  </sheetViews>
  <sheetFormatPr defaultRowHeight="12.75" x14ac:dyDescent="0.2"/>
  <cols>
    <col min="1" max="1" width="13.7109375" style="6" customWidth="1"/>
    <col min="2" max="2" width="41.28515625" customWidth="1"/>
    <col min="3" max="3" width="9.140625" style="1"/>
    <col min="4" max="4" width="26" customWidth="1"/>
    <col min="5" max="5" width="28.42578125" customWidth="1"/>
  </cols>
  <sheetData>
    <row r="1" spans="1:7" ht="14.25" x14ac:dyDescent="0.2">
      <c r="A1" s="33" t="s">
        <v>0</v>
      </c>
      <c r="B1" s="11" t="s">
        <v>3</v>
      </c>
      <c r="C1" s="12">
        <v>57</v>
      </c>
      <c r="E1" s="2" t="s">
        <v>0</v>
      </c>
      <c r="F1">
        <f>SUM(C1:C4)</f>
        <v>213</v>
      </c>
      <c r="G1" s="23"/>
    </row>
    <row r="2" spans="1:7" ht="14.25" x14ac:dyDescent="0.2">
      <c r="A2" s="34"/>
      <c r="B2" s="11" t="s">
        <v>4</v>
      </c>
      <c r="C2" s="12">
        <v>55</v>
      </c>
      <c r="E2" s="2" t="s">
        <v>1</v>
      </c>
      <c r="F2">
        <f>SUM(C6:C24)</f>
        <v>703</v>
      </c>
      <c r="G2" s="23"/>
    </row>
    <row r="3" spans="1:7" ht="14.25" x14ac:dyDescent="0.2">
      <c r="A3" s="34"/>
      <c r="B3" s="11" t="s">
        <v>10</v>
      </c>
      <c r="C3" s="12">
        <v>36</v>
      </c>
      <c r="E3" s="2" t="s">
        <v>29</v>
      </c>
      <c r="F3">
        <f>SUM(C26:C28)</f>
        <v>162</v>
      </c>
      <c r="G3" s="23"/>
    </row>
    <row r="4" spans="1:7" ht="14.25" x14ac:dyDescent="0.2">
      <c r="A4" s="34"/>
      <c r="B4" s="11" t="s">
        <v>11</v>
      </c>
      <c r="C4" s="12">
        <v>65</v>
      </c>
      <c r="F4">
        <f>SUM(F1:F3)</f>
        <v>1078</v>
      </c>
    </row>
    <row r="5" spans="1:7" x14ac:dyDescent="0.2">
      <c r="A5" s="4"/>
      <c r="B5" s="5"/>
      <c r="C5" s="3"/>
    </row>
    <row r="6" spans="1:7" ht="14.25" x14ac:dyDescent="0.2">
      <c r="A6" s="35" t="s">
        <v>7</v>
      </c>
      <c r="B6" s="19" t="s">
        <v>12</v>
      </c>
      <c r="C6" s="20">
        <v>53</v>
      </c>
    </row>
    <row r="7" spans="1:7" ht="14.25" x14ac:dyDescent="0.2">
      <c r="A7" s="36"/>
      <c r="B7" s="19" t="s">
        <v>13</v>
      </c>
      <c r="C7" s="20">
        <v>36</v>
      </c>
      <c r="E7" s="2" t="s">
        <v>29</v>
      </c>
      <c r="F7" s="24">
        <f>F3/F$4</f>
        <v>0.150278293135436</v>
      </c>
    </row>
    <row r="8" spans="1:7" ht="14.25" x14ac:dyDescent="0.2">
      <c r="A8" s="36"/>
      <c r="B8" s="19" t="s">
        <v>14</v>
      </c>
      <c r="C8" s="20">
        <v>55</v>
      </c>
      <c r="E8" s="2" t="s">
        <v>0</v>
      </c>
      <c r="F8" s="24">
        <f>F1/F$4</f>
        <v>0.19758812615955473</v>
      </c>
    </row>
    <row r="9" spans="1:7" ht="14.25" x14ac:dyDescent="0.2">
      <c r="A9" s="7"/>
      <c r="B9" s="8"/>
      <c r="C9" s="10"/>
      <c r="E9" s="2" t="s">
        <v>1</v>
      </c>
      <c r="F9" s="24">
        <f>F2/F$4</f>
        <v>0.65213358070500926</v>
      </c>
    </row>
    <row r="10" spans="1:7" ht="14.25" x14ac:dyDescent="0.2">
      <c r="A10" s="43" t="s">
        <v>28</v>
      </c>
      <c r="B10" s="21"/>
      <c r="C10" s="22"/>
      <c r="D10" s="2" t="s">
        <v>31</v>
      </c>
      <c r="E10" s="2"/>
      <c r="F10" s="2"/>
    </row>
    <row r="11" spans="1:7" ht="14.25" customHeight="1" x14ac:dyDescent="0.2">
      <c r="A11" s="44"/>
      <c r="B11" s="31" t="s">
        <v>16</v>
      </c>
      <c r="C11" s="32">
        <v>56</v>
      </c>
      <c r="E11" s="2"/>
      <c r="F11" s="2"/>
    </row>
    <row r="12" spans="1:7" ht="14.25" x14ac:dyDescent="0.2">
      <c r="A12" s="44"/>
      <c r="B12" s="21" t="s">
        <v>15</v>
      </c>
      <c r="C12" s="22">
        <v>28</v>
      </c>
    </row>
    <row r="13" spans="1:7" ht="14.25" x14ac:dyDescent="0.2">
      <c r="A13" s="44"/>
      <c r="B13" s="31" t="s">
        <v>17</v>
      </c>
      <c r="C13" s="32">
        <v>27</v>
      </c>
      <c r="E13" s="11" t="s">
        <v>10</v>
      </c>
      <c r="F13" s="12">
        <v>36</v>
      </c>
    </row>
    <row r="14" spans="1:7" ht="14.25" x14ac:dyDescent="0.2">
      <c r="A14" s="44"/>
      <c r="B14" s="31" t="s">
        <v>18</v>
      </c>
      <c r="C14" s="32">
        <v>28</v>
      </c>
      <c r="E14" s="11" t="s">
        <v>4</v>
      </c>
      <c r="F14" s="12">
        <v>55</v>
      </c>
    </row>
    <row r="15" spans="1:7" ht="14.25" x14ac:dyDescent="0.2">
      <c r="A15" s="44"/>
      <c r="B15" s="21" t="s">
        <v>9</v>
      </c>
      <c r="C15" s="22">
        <v>91</v>
      </c>
      <c r="E15" s="11" t="s">
        <v>3</v>
      </c>
      <c r="F15" s="12">
        <v>57</v>
      </c>
    </row>
    <row r="16" spans="1:7" ht="14.25" x14ac:dyDescent="0.2">
      <c r="A16" s="45"/>
      <c r="B16" s="21" t="s">
        <v>21</v>
      </c>
      <c r="C16" s="22">
        <v>65</v>
      </c>
      <c r="E16" s="11" t="s">
        <v>11</v>
      </c>
      <c r="F16" s="12">
        <v>65</v>
      </c>
    </row>
    <row r="17" spans="1:6" ht="14.25" x14ac:dyDescent="0.2">
      <c r="A17" s="9"/>
      <c r="B17" s="8"/>
      <c r="C17" s="10"/>
      <c r="F17">
        <f>SUM(F13:F16)</f>
        <v>213</v>
      </c>
    </row>
    <row r="18" spans="1:6" ht="14.25" x14ac:dyDescent="0.2">
      <c r="A18" s="46" t="s">
        <v>6</v>
      </c>
      <c r="B18" s="13" t="s">
        <v>19</v>
      </c>
      <c r="C18" s="14">
        <v>71</v>
      </c>
      <c r="E18" s="11" t="s">
        <v>10</v>
      </c>
      <c r="F18" s="25">
        <f>F13/F$17</f>
        <v>0.16901408450704225</v>
      </c>
    </row>
    <row r="19" spans="1:6" ht="14.25" x14ac:dyDescent="0.2">
      <c r="A19" s="47"/>
      <c r="B19" s="13" t="s">
        <v>20</v>
      </c>
      <c r="C19" s="14">
        <v>98</v>
      </c>
      <c r="E19" s="11" t="s">
        <v>4</v>
      </c>
      <c r="F19" s="25">
        <f t="shared" ref="F19:F21" si="0">F14/F$17</f>
        <v>0.25821596244131456</v>
      </c>
    </row>
    <row r="20" spans="1:6" ht="14.25" x14ac:dyDescent="0.2">
      <c r="A20" s="4"/>
      <c r="B20" s="5"/>
      <c r="C20" s="3"/>
      <c r="E20" s="11" t="s">
        <v>3</v>
      </c>
      <c r="F20" s="25">
        <f t="shared" si="0"/>
        <v>0.26760563380281688</v>
      </c>
    </row>
    <row r="21" spans="1:6" ht="14.25" x14ac:dyDescent="0.2">
      <c r="A21" s="40" t="s">
        <v>8</v>
      </c>
      <c r="B21" s="15" t="s">
        <v>24</v>
      </c>
      <c r="C21" s="16">
        <v>28</v>
      </c>
      <c r="E21" s="11" t="s">
        <v>11</v>
      </c>
      <c r="F21" s="25">
        <f t="shared" si="0"/>
        <v>0.30516431924882631</v>
      </c>
    </row>
    <row r="22" spans="1:6" ht="14.25" x14ac:dyDescent="0.2">
      <c r="A22" s="41"/>
      <c r="B22" s="15" t="s">
        <v>25</v>
      </c>
      <c r="C22" s="16">
        <v>21</v>
      </c>
    </row>
    <row r="23" spans="1:6" ht="14.25" x14ac:dyDescent="0.2">
      <c r="A23" s="41"/>
      <c r="B23" s="15" t="s">
        <v>26</v>
      </c>
      <c r="C23" s="16">
        <v>11</v>
      </c>
    </row>
    <row r="24" spans="1:6" ht="14.25" x14ac:dyDescent="0.2">
      <c r="A24" s="42"/>
      <c r="B24" s="15" t="s">
        <v>27</v>
      </c>
      <c r="C24" s="16">
        <v>35</v>
      </c>
    </row>
    <row r="25" spans="1:6" x14ac:dyDescent="0.2">
      <c r="A25" s="4"/>
      <c r="B25" s="5"/>
      <c r="C25" s="3"/>
      <c r="E25" s="26" t="s">
        <v>8</v>
      </c>
      <c r="F25" s="27">
        <f>SUM(C21:C24)</f>
        <v>95</v>
      </c>
    </row>
    <row r="26" spans="1:6" ht="14.25" x14ac:dyDescent="0.2">
      <c r="A26" s="37" t="s">
        <v>2</v>
      </c>
      <c r="B26" s="17" t="s">
        <v>22</v>
      </c>
      <c r="C26" s="18">
        <v>117</v>
      </c>
      <c r="E26" s="26" t="s">
        <v>7</v>
      </c>
      <c r="F26" s="27">
        <f>SUM(C6:C8)</f>
        <v>144</v>
      </c>
    </row>
    <row r="27" spans="1:6" ht="14.25" x14ac:dyDescent="0.2">
      <c r="A27" s="38"/>
      <c r="B27" s="17" t="s">
        <v>23</v>
      </c>
      <c r="C27" s="18">
        <v>22</v>
      </c>
      <c r="E27" s="26" t="s">
        <v>6</v>
      </c>
      <c r="F27" s="27">
        <f>SUM(C18:C19)</f>
        <v>169</v>
      </c>
    </row>
    <row r="28" spans="1:6" ht="14.25" x14ac:dyDescent="0.2">
      <c r="A28" s="39"/>
      <c r="B28" s="17" t="s">
        <v>5</v>
      </c>
      <c r="C28" s="18">
        <v>23</v>
      </c>
      <c r="E28" s="26" t="s">
        <v>30</v>
      </c>
      <c r="F28" s="27">
        <f>SUM(C10:C16)</f>
        <v>295</v>
      </c>
    </row>
    <row r="29" spans="1:6" x14ac:dyDescent="0.2">
      <c r="F29">
        <f>SUM(F25:F28)</f>
        <v>703</v>
      </c>
    </row>
    <row r="30" spans="1:6" x14ac:dyDescent="0.2">
      <c r="E30" s="28" t="s">
        <v>8</v>
      </c>
      <c r="F30" s="29">
        <f>F25/F$29</f>
        <v>0.13513513513513514</v>
      </c>
    </row>
    <row r="31" spans="1:6" x14ac:dyDescent="0.2">
      <c r="E31" s="28" t="s">
        <v>7</v>
      </c>
      <c r="F31" s="29">
        <f t="shared" ref="F31:F33" si="1">F26/F$29</f>
        <v>0.20483641536273114</v>
      </c>
    </row>
    <row r="32" spans="1:6" x14ac:dyDescent="0.2">
      <c r="E32" s="28" t="s">
        <v>6</v>
      </c>
      <c r="F32" s="29">
        <f t="shared" si="1"/>
        <v>0.24039829302987198</v>
      </c>
    </row>
    <row r="33" spans="5:6" x14ac:dyDescent="0.2">
      <c r="E33" s="28" t="s">
        <v>30</v>
      </c>
      <c r="F33" s="29">
        <f t="shared" si="1"/>
        <v>0.41963015647226176</v>
      </c>
    </row>
    <row r="36" spans="5:6" ht="14.25" x14ac:dyDescent="0.2">
      <c r="E36" s="17" t="s">
        <v>23</v>
      </c>
      <c r="F36" s="18">
        <v>22</v>
      </c>
    </row>
    <row r="37" spans="5:6" ht="14.25" x14ac:dyDescent="0.2">
      <c r="E37" s="17" t="s">
        <v>5</v>
      </c>
      <c r="F37" s="18">
        <v>23</v>
      </c>
    </row>
    <row r="38" spans="5:6" ht="14.25" x14ac:dyDescent="0.2">
      <c r="E38" s="17" t="s">
        <v>22</v>
      </c>
      <c r="F38" s="18">
        <v>117</v>
      </c>
    </row>
    <row r="39" spans="5:6" x14ac:dyDescent="0.2">
      <c r="F39">
        <f>SUM(F36:F38)</f>
        <v>162</v>
      </c>
    </row>
    <row r="40" spans="5:6" ht="14.25" x14ac:dyDescent="0.2">
      <c r="E40" s="17" t="s">
        <v>23</v>
      </c>
      <c r="F40" s="30">
        <f>F36/F$39</f>
        <v>0.13580246913580246</v>
      </c>
    </row>
    <row r="41" spans="5:6" ht="14.25" x14ac:dyDescent="0.2">
      <c r="E41" s="17" t="s">
        <v>5</v>
      </c>
      <c r="F41" s="30">
        <f t="shared" ref="F41:F42" si="2">F37/F$39</f>
        <v>0.1419753086419753</v>
      </c>
    </row>
    <row r="42" spans="5:6" ht="14.25" x14ac:dyDescent="0.2">
      <c r="E42" s="17" t="s">
        <v>22</v>
      </c>
      <c r="F42" s="30">
        <f t="shared" si="2"/>
        <v>0.72222222222222221</v>
      </c>
    </row>
  </sheetData>
  <mergeCells count="6">
    <mergeCell ref="A26:A28"/>
    <mergeCell ref="A1:A4"/>
    <mergeCell ref="A6:A8"/>
    <mergeCell ref="A10:A16"/>
    <mergeCell ref="A18:A19"/>
    <mergeCell ref="A21:A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2025-10-05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Abdulhadi Shoufan</dc:creator>
  <cp:lastModifiedBy>Abdulhadi Shoufan</cp:lastModifiedBy>
  <dcterms:created xsi:type="dcterms:W3CDTF">2025-10-03T06:13:11Z</dcterms:created>
  <dcterms:modified xsi:type="dcterms:W3CDTF">2025-10-05T05:56:32Z</dcterms:modified>
</cp:coreProperties>
</file>